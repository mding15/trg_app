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din\OneDrive\Documents\dev\TRG_App\dev\trgapp\test_data\"/>
    </mc:Choice>
  </mc:AlternateContent>
  <bookViews>
    <workbookView xWindow="0" yWindow="0" windowWidth="28800" windowHeight="11910" activeTab="9"/>
  </bookViews>
  <sheets>
    <sheet name="Parameters" sheetId="2" r:id="rId1"/>
    <sheet name="Positions" sheetId="3" r:id="rId2"/>
    <sheet name="Log" sheetId="4" r:id="rId3"/>
    <sheet name="CalcPositions" sheetId="5" r:id="rId4"/>
    <sheet name="RiskFactor" sheetId="6" r:id="rId5"/>
    <sheet name="Static" sheetId="7" r:id="rId6"/>
    <sheet name="Security_info" sheetId="8" r:id="rId7"/>
    <sheet name="LastPrices" sheetId="9" r:id="rId8"/>
    <sheet name="Bonds" sheetId="10" r:id="rId9"/>
    <sheet name="VaR" sheetId="11" r:id="rId10"/>
    <sheet name="RF_VaR" sheetId="12" r:id="rId11"/>
  </sheets>
  <definedNames>
    <definedName name="_xlnm._FilterDatabase" localSheetId="4" hidden="1">RiskFactor!$A$1:$I$33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3" l="1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5" i="3"/>
  <c r="G2" i="3"/>
</calcChain>
</file>

<file path=xl/sharedStrings.xml><?xml version="1.0" encoding="utf-8"?>
<sst xmlns="http://schemas.openxmlformats.org/spreadsheetml/2006/main" count="1120" uniqueCount="255">
  <si>
    <t>Horizon Days</t>
  </si>
  <si>
    <t>Benchmark 20% Equity, 80% Bond</t>
  </si>
  <si>
    <t>Benchmark Name</t>
  </si>
  <si>
    <t>Benchmark Expected Return</t>
  </si>
  <si>
    <t>BM_20_80</t>
  </si>
  <si>
    <t>Benchmark</t>
  </si>
  <si>
    <t>Confidence Level</t>
  </si>
  <si>
    <t>Month</t>
  </si>
  <si>
    <t>Risk Horizon</t>
  </si>
  <si>
    <t>Report Date</t>
  </si>
  <si>
    <t>Model_1</t>
  </si>
  <si>
    <t>Portfolio ID</t>
  </si>
  <si>
    <t>Model 1</t>
  </si>
  <si>
    <t>Portfolio Name</t>
  </si>
  <si>
    <t>Demo</t>
  </si>
  <si>
    <t>Client ID</t>
  </si>
  <si>
    <t>Value</t>
  </si>
  <si>
    <t>Parameter</t>
  </si>
  <si>
    <t>Transportation</t>
  </si>
  <si>
    <t>Industrials</t>
  </si>
  <si>
    <t>North America</t>
  </si>
  <si>
    <t>United States</t>
  </si>
  <si>
    <t>USD</t>
  </si>
  <si>
    <t>Cash</t>
  </si>
  <si>
    <t>USD.CCY</t>
  </si>
  <si>
    <t>Private Credit</t>
  </si>
  <si>
    <t>Alternative</t>
  </si>
  <si>
    <t>ISHVF</t>
  </si>
  <si>
    <t>6269979A0</t>
  </si>
  <si>
    <t>North Haven Private Income</t>
  </si>
  <si>
    <t>LODUT</t>
  </si>
  <si>
    <t>8359769R4</t>
  </si>
  <si>
    <t>Owl Rock Core Income</t>
  </si>
  <si>
    <t>Commercial &amp; Professional Services</t>
  </si>
  <si>
    <t>PGLAZ</t>
  </si>
  <si>
    <t>09261H305</t>
  </si>
  <si>
    <t>Blackstone Private Credit Fund Class I</t>
  </si>
  <si>
    <t>Capital Goods</t>
  </si>
  <si>
    <t>Real Estate</t>
  </si>
  <si>
    <t>LODEZ</t>
  </si>
  <si>
    <t>8359619L9</t>
  </si>
  <si>
    <t>Nuveen Global Cities Real Estate Income</t>
  </si>
  <si>
    <t>CACCZ</t>
  </si>
  <si>
    <t>8359619M7</t>
  </si>
  <si>
    <t>Blackstone Real Estate Income</t>
  </si>
  <si>
    <t>Bond ETF</t>
  </si>
  <si>
    <t>Bond</t>
  </si>
  <si>
    <t>IHHSF</t>
  </si>
  <si>
    <t>IE00B4PY7Y77</t>
  </si>
  <si>
    <t>iShares High Yield</t>
  </si>
  <si>
    <t>Bond Fund</t>
  </si>
  <si>
    <t>IMSCF</t>
  </si>
  <si>
    <t>LU1134226536</t>
  </si>
  <si>
    <t>Morgan Stanley Short Duration High Yield</t>
  </si>
  <si>
    <t>Asia &amp; Pacific</t>
  </si>
  <si>
    <t>Japan</t>
  </si>
  <si>
    <t>Yen</t>
  </si>
  <si>
    <t>MOTTZ</t>
  </si>
  <si>
    <t>LU0654560100</t>
  </si>
  <si>
    <t>AB Short Duration High Yield</t>
  </si>
  <si>
    <t>EUEIC</t>
  </si>
  <si>
    <t>IE00B3VWN179</t>
  </si>
  <si>
    <t>Ishares Treasury Bond 1-3 year UCITS ETF</t>
  </si>
  <si>
    <t>AEUUU</t>
  </si>
  <si>
    <t>IE00BYXYYJ35</t>
  </si>
  <si>
    <t>ISHARES USD CORP BOND UCITS ETF ACCUM</t>
  </si>
  <si>
    <t>NUHGZ</t>
  </si>
  <si>
    <t>IE00BYXYYP94</t>
  </si>
  <si>
    <t>ISHARES USD SHORT DURATION CORP BOND UCITS</t>
  </si>
  <si>
    <t>AGACZ</t>
  </si>
  <si>
    <t>IE00BQSBJZ46</t>
  </si>
  <si>
    <t>Virus MultiSector Short Term Bond</t>
  </si>
  <si>
    <t>SCHHH</t>
  </si>
  <si>
    <t>IE00BFNWYB63</t>
  </si>
  <si>
    <t>Lord Abbet Short Duration Income</t>
  </si>
  <si>
    <t>Containers &amp; Packaging</t>
  </si>
  <si>
    <t>Materials</t>
  </si>
  <si>
    <t>Equity Fund</t>
  </si>
  <si>
    <t>Equity</t>
  </si>
  <si>
    <t>SSDRF</t>
  </si>
  <si>
    <t>LU0426422076</t>
  </si>
  <si>
    <t>Ninety One Global Franchise CL I</t>
  </si>
  <si>
    <t>Europe</t>
  </si>
  <si>
    <t>Spain</t>
  </si>
  <si>
    <t>Euro</t>
  </si>
  <si>
    <t>TIESI</t>
  </si>
  <si>
    <t>LU0119620176</t>
  </si>
  <si>
    <t>Morgan Stanley Global Brands CL I</t>
  </si>
  <si>
    <t>Construction Materials</t>
  </si>
  <si>
    <t>Germany</t>
  </si>
  <si>
    <t>Equity ETF</t>
  </si>
  <si>
    <t>MFMER</t>
  </si>
  <si>
    <t>IE00B3YLTY66</t>
  </si>
  <si>
    <t>SPDR ACWI IMI</t>
  </si>
  <si>
    <t>Chemicals</t>
  </si>
  <si>
    <t>JPMMZ</t>
  </si>
  <si>
    <t>IE00BQSBKL72</t>
  </si>
  <si>
    <t xml:space="preserve">Virtus US Small Cap Focus </t>
  </si>
  <si>
    <t>Oil, Gas &amp; Consumable Fuels</t>
  </si>
  <si>
    <t>Energy</t>
  </si>
  <si>
    <t>LOMIZ</t>
  </si>
  <si>
    <t>IE00B5BMR087</t>
  </si>
  <si>
    <t>iShares Core S&amp;P 500 UCITS ETF USD</t>
  </si>
  <si>
    <t>Energy Equipment &amp; Services</t>
  </si>
  <si>
    <t>CSTNL</t>
  </si>
  <si>
    <t>US92189F6438</t>
  </si>
  <si>
    <t>Vaneck Wide Moat ETF</t>
  </si>
  <si>
    <t>CouponRate</t>
  </si>
  <si>
    <t>UnderlyingSecurityID</t>
  </si>
  <si>
    <t>OptionStrike</t>
  </si>
  <si>
    <t>MaturityDate</t>
  </si>
  <si>
    <t>FrequencyMonths</t>
  </si>
  <si>
    <t>OptionType</t>
  </si>
  <si>
    <t>Industry</t>
  </si>
  <si>
    <t>Sector</t>
  </si>
  <si>
    <t>Region</t>
  </si>
  <si>
    <t>Country</t>
  </si>
  <si>
    <t>Currency</t>
  </si>
  <si>
    <t>LastPriceDate</t>
  </si>
  <si>
    <t>LastPrice</t>
  </si>
  <si>
    <t>AssetType</t>
  </si>
  <si>
    <t>AssetClass</t>
  </si>
  <si>
    <t>ExpectedReturn</t>
  </si>
  <si>
    <t>Weight</t>
  </si>
  <si>
    <t>Quantity</t>
  </si>
  <si>
    <t>Ticker</t>
  </si>
  <si>
    <t>CUSIP</t>
  </si>
  <si>
    <t>ISIN</t>
  </si>
  <si>
    <t>SecurityName</t>
  </si>
  <si>
    <t>Class</t>
  </si>
  <si>
    <t>SC1</t>
  </si>
  <si>
    <t>SC2</t>
  </si>
  <si>
    <t>US Equity</t>
  </si>
  <si>
    <t>European Equity</t>
  </si>
  <si>
    <t>Short Bond</t>
  </si>
  <si>
    <t>Long Bond</t>
  </si>
  <si>
    <t>MarketValue</t>
  </si>
  <si>
    <t>PPL CAPITAL FUNDING INC FXD TO032017 VAR THRAFTR 8.236% CPN: 8.236% Due : 3/30/2067 Callable at $100.000 on 7/11/2024</t>
  </si>
  <si>
    <t>69352PAC7</t>
  </si>
  <si>
    <t>TRANSCANADA PIPELINES LTD FXD TO 052017 VAR THRAFTR 7.7939% CPN: 7.794% Due : 5/15/2067 Callable at $100.000 on 7/11/2024</t>
  </si>
  <si>
    <t>89352HAC3</t>
  </si>
  <si>
    <t>WEC ENERGY GROUP INC FXD TO   052017 VAR THRAFTR 7.6964% CPN: 7.696% Due : 5/15/2067 Callable at $100.000 on 7/11/2024</t>
  </si>
  <si>
    <t>976657AH9</t>
  </si>
  <si>
    <t>Base Currency</t>
  </si>
  <si>
    <t>SecurityID</t>
  </si>
  <si>
    <t>Message</t>
  </si>
  <si>
    <t>pos_id</t>
  </si>
  <si>
    <t>user_LastPrice</t>
  </si>
  <si>
    <t>user_LastPriceDate</t>
  </si>
  <si>
    <t>user_AssetClass</t>
  </si>
  <si>
    <t>user_AssetType</t>
  </si>
  <si>
    <t>user_OptionType</t>
  </si>
  <si>
    <t>user_MaturityDate</t>
  </si>
  <si>
    <t>user_OptionStrike</t>
  </si>
  <si>
    <t>user_UnderlyingSecurityID</t>
  </si>
  <si>
    <t>user_CouponRate</t>
  </si>
  <si>
    <t>DELTA</t>
  </si>
  <si>
    <t>IR_PV01</t>
  </si>
  <si>
    <t>SP_PV01</t>
  </si>
  <si>
    <t>Duration</t>
  </si>
  <si>
    <t>Convexity</t>
  </si>
  <si>
    <t>SpreadDuration</t>
  </si>
  <si>
    <t>SpreadConvexity</t>
  </si>
  <si>
    <t>Tenor</t>
  </si>
  <si>
    <t>IR_Tenor</t>
  </si>
  <si>
    <t>Yield</t>
  </si>
  <si>
    <t>GAMMA</t>
  </si>
  <si>
    <t>VEGA</t>
  </si>
  <si>
    <t>IV</t>
  </si>
  <si>
    <t>T10000872</t>
  </si>
  <si>
    <t>T10000106</t>
  </si>
  <si>
    <t>T10000873</t>
  </si>
  <si>
    <t>EUR</t>
  </si>
  <si>
    <t>T10000874</t>
  </si>
  <si>
    <t>T10000875</t>
  </si>
  <si>
    <t>T10000876</t>
  </si>
  <si>
    <t>T10000877</t>
  </si>
  <si>
    <t>T10000878</t>
  </si>
  <si>
    <t>T10000879</t>
  </si>
  <si>
    <t>T10000880</t>
  </si>
  <si>
    <t>T10000881</t>
  </si>
  <si>
    <t>T10000882</t>
  </si>
  <si>
    <t>T10000883</t>
  </si>
  <si>
    <t>T10000884</t>
  </si>
  <si>
    <t>T10000912</t>
  </si>
  <si>
    <t>T10000913</t>
  </si>
  <si>
    <t>T10000916</t>
  </si>
  <si>
    <t>T10000914</t>
  </si>
  <si>
    <t>T10000915</t>
  </si>
  <si>
    <t>T10001061</t>
  </si>
  <si>
    <t>T10001062</t>
  </si>
  <si>
    <t>T10001063</t>
  </si>
  <si>
    <t>T10000885</t>
  </si>
  <si>
    <t>Category</t>
  </si>
  <si>
    <t>RF_ID</t>
  </si>
  <si>
    <t>Sensitivity</t>
  </si>
  <si>
    <t>Exposure</t>
  </si>
  <si>
    <t>FX</t>
  </si>
  <si>
    <t>T10001560</t>
  </si>
  <si>
    <t>SPREAD</t>
  </si>
  <si>
    <t>IR</t>
  </si>
  <si>
    <t>T10001023</t>
  </si>
  <si>
    <t>Name</t>
  </si>
  <si>
    <t>Riskfree Rate</t>
  </si>
  <si>
    <t>index</t>
  </si>
  <si>
    <t>id</t>
  </si>
  <si>
    <t>DataSource</t>
  </si>
  <si>
    <t>DateAdded</t>
  </si>
  <si>
    <t>ISHARES CORE S&amp;P 500 UCITS ETF</t>
  </si>
  <si>
    <t>FT PortfolioA</t>
  </si>
  <si>
    <t>CASH USD</t>
  </si>
  <si>
    <t>BB_Global</t>
  </si>
  <si>
    <t>BB_UNIQUE</t>
  </si>
  <si>
    <t>IssuedCurrency</t>
  </si>
  <si>
    <t>IssuerTicker</t>
  </si>
  <si>
    <t>Rating</t>
  </si>
  <si>
    <t>CouponType</t>
  </si>
  <si>
    <t>PaymentFrequency</t>
  </si>
  <si>
    <t>Callable</t>
  </si>
  <si>
    <t>CallDate</t>
  </si>
  <si>
    <t>Formula</t>
  </si>
  <si>
    <t>Putable</t>
  </si>
  <si>
    <t>DayCountBasis</t>
  </si>
  <si>
    <t>DatedDate</t>
  </si>
  <si>
    <t>FirstInterestPayment</t>
  </si>
  <si>
    <t>AddDate</t>
  </si>
  <si>
    <t>UpdateDate</t>
  </si>
  <si>
    <t>Price</t>
  </si>
  <si>
    <t>PPL</t>
  </si>
  <si>
    <t>BBB</t>
  </si>
  <si>
    <t>Utilities</t>
  </si>
  <si>
    <t>Variable</t>
  </si>
  <si>
    <t>Y</t>
  </si>
  <si>
    <t xml:space="preserve">USD 3M USD-SOFR+292.66100 </t>
  </si>
  <si>
    <t>ACT/360</t>
  </si>
  <si>
    <t>TRP</t>
  </si>
  <si>
    <t>BBB-</t>
  </si>
  <si>
    <t>Canada</t>
  </si>
  <si>
    <t>WEC</t>
  </si>
  <si>
    <t>USD 3M USD-LIBOR+211.25000</t>
  </si>
  <si>
    <t>CASH EUR</t>
  </si>
  <si>
    <t>EUR.CCY</t>
  </si>
  <si>
    <t>Unknown</t>
  </si>
  <si>
    <t>T10000886</t>
  </si>
  <si>
    <t>IR VaR</t>
  </si>
  <si>
    <t>DELTA VaR</t>
  </si>
  <si>
    <t>SPREAD VaR</t>
  </si>
  <si>
    <t>FX VaR</t>
  </si>
  <si>
    <t>STD</t>
  </si>
  <si>
    <t>Marginal_STD</t>
  </si>
  <si>
    <t>VaR</t>
  </si>
  <si>
    <t>tVaR</t>
  </si>
  <si>
    <t>Marginal_VaR</t>
  </si>
  <si>
    <t>Marginal_tVaR</t>
  </si>
  <si>
    <t>RF_Type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</si>
</sst>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%"/>
    <numFmt numFmtId="165" formatCode="yyyy\-mm\-dd\ h:mm:ss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0" fontId="1" fillId="2" borderId="0" xfId="2" applyNumberFormat="1" applyFill="1" applyAlignment="1">
      <alignment horizontal="left"/>
    </xf>
    <xf numFmtId="9" fontId="1" fillId="2" borderId="0" xfId="2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164" fontId="1" fillId="0" borderId="0" xfId="1" applyNumberFormat="1"/>
    <xf numFmtId="14" fontId="0" fillId="0" borderId="0" xfId="0" applyNumberFormat="1"/>
    <xf numFmtId="43" fontId="1" fillId="0" borderId="0" xfId="3"/>
    <xf numFmtId="10" fontId="1" fillId="0" borderId="0" xfId="1" applyNumberFormat="1"/>
    <xf numFmtId="165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0" fontId="4" fillId="4" borderId="1" xfId="0" applyNumberFormat="1" applyFont="1" applyFill="1" applyBorder="1" applyAlignment="1">
      <alignment horizontal="center" vertical="top"/>
    </xf>
    <xf numFmtId="0" fontId="5" fillId="4" borderId="1" xfId="0" applyNumberFormat="1" applyFont="1" applyFill="1" applyBorder="1" applyAlignment="1">
      <alignment horizontal="center"/>
    </xf>
    <xf numFmtId="0" fontId="5" fillId="4" borderId="1" xfId="3" applyNumberFormat="1" applyFont="1" applyFill="1" applyBorder="1"/>
    <xf numFmtId="0" fontId="5" fillId="4" borderId="1" xfId="2" applyNumberFormat="1" applyFont="1" applyFill="1" applyBorder="1"/>
    <xf numFmtId="0" fontId="5" fillId="4" borderId="1" xfId="2" applyNumberFormat="1" applyFont="1" applyFill="1" applyBorder="1" applyAlignment="1">
      <alignment horizontal="left"/>
    </xf>
    <xf numFmtId="0" fontId="4" fillId="4" borderId="1" xfId="0" applyNumberFormat="1" applyFont="1" applyFill="1" applyBorder="1" applyAlignment="1">
      <alignment horizontal="left" vertical="top"/>
    </xf>
    <xf numFmtId="43" fontId="1" fillId="0" borderId="0" xfId="4"/>
    <xf numFmtId="0" fontId="0" fillId="0" borderId="0" xfId="0"/>
    <xf numFmtId="14" fontId="0" fillId="0" borderId="0" xfId="0" applyNumberFormat="1"/>
    <xf numFmtId="43" fontId="1" fillId="0" borderId="0" xfId="3"/>
    <xf numFmtId="10" fontId="0" fillId="0" borderId="0" xfId="1" applyNumberFormat="1" applyFont="1"/>
    <xf numFmtId="0" fontId="0" fillId="0" borderId="0" xfId="0" quotePrefix="1"/>
    <xf numFmtId="43" fontId="0" fillId="0" borderId="0" xfId="4" applyFont="1"/>
    <xf numFmtId="43" fontId="0" fillId="0" borderId="0" xfId="3" applyFon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167" fontId="0" fillId="0" borderId="0" xfId="4" applyNumberFormat="1" applyFont="1"/>
  </cellXfs>
  <cellStyles count="5">
    <cellStyle name="Comma" xfId="4" builtinId="3"/>
    <cellStyle name="Comma 2" xfId="3"/>
    <cellStyle name="Normal" xfId="0" builtinId="0"/>
    <cellStyle name="Percent" xfId="1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2"/>
  <sheetViews>
    <sheetView workbookViewId="0">
      <selection activeCell="A12" sqref="A12"/>
    </sheetView>
  </sheetViews>
  <sheetFormatPr defaultColWidth="9.140625" defaultRowHeight="15" x14ac:dyDescent="0.25"/>
  <cols>
    <col min="1" max="1" width="33.28515625" style="1" customWidth="1"/>
    <col min="2" max="2" width="61" style="2" customWidth="1"/>
    <col min="3" max="16384" width="9.140625" style="1"/>
  </cols>
  <sheetData>
    <row r="1" spans="1:2" x14ac:dyDescent="0.25">
      <c r="A1" s="9" t="s">
        <v>17</v>
      </c>
      <c r="B1" s="8" t="s">
        <v>16</v>
      </c>
    </row>
    <row r="2" spans="1:2" x14ac:dyDescent="0.25">
      <c r="A2" s="7" t="s">
        <v>15</v>
      </c>
      <c r="B2" s="6" t="s">
        <v>14</v>
      </c>
    </row>
    <row r="3" spans="1:2" x14ac:dyDescent="0.25">
      <c r="A3" s="7" t="s">
        <v>13</v>
      </c>
      <c r="B3" s="6" t="s">
        <v>12</v>
      </c>
    </row>
    <row r="4" spans="1:2" x14ac:dyDescent="0.25">
      <c r="A4" s="7" t="s">
        <v>11</v>
      </c>
      <c r="B4" s="6" t="s">
        <v>10</v>
      </c>
    </row>
    <row r="5" spans="1:2" x14ac:dyDescent="0.25">
      <c r="A5" s="1" t="s">
        <v>9</v>
      </c>
      <c r="B5" s="5">
        <v>45107</v>
      </c>
    </row>
    <row r="6" spans="1:2" x14ac:dyDescent="0.25">
      <c r="A6" s="1" t="s">
        <v>8</v>
      </c>
      <c r="B6" s="5" t="s">
        <v>7</v>
      </c>
    </row>
    <row r="7" spans="1:2" x14ac:dyDescent="0.25">
      <c r="A7" s="1" t="s">
        <v>6</v>
      </c>
      <c r="B7" s="4">
        <v>0.95</v>
      </c>
    </row>
    <row r="8" spans="1:2" x14ac:dyDescent="0.25">
      <c r="A8" s="1" t="s">
        <v>5</v>
      </c>
      <c r="B8" t="s">
        <v>4</v>
      </c>
    </row>
    <row r="9" spans="1:2" x14ac:dyDescent="0.25">
      <c r="A9" s="1" t="s">
        <v>3</v>
      </c>
      <c r="B9" s="3">
        <v>4.8799999999999899E-2</v>
      </c>
    </row>
    <row r="10" spans="1:2" x14ac:dyDescent="0.25">
      <c r="A10" s="1" t="s">
        <v>2</v>
      </c>
      <c r="B10" s="2" t="s">
        <v>1</v>
      </c>
    </row>
    <row r="11" spans="1:2" x14ac:dyDescent="0.25">
      <c r="A11" s="1" t="s">
        <v>0</v>
      </c>
      <c r="B11" s="2">
        <v>21</v>
      </c>
    </row>
    <row r="12" spans="1:2" x14ac:dyDescent="0.25">
      <c r="A12" s="1" t="s">
        <v>143</v>
      </c>
      <c r="B12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214"/>
  <sheetViews>
    <sheetView zoomScale="70" zoomScaleNormal="70" workbookViewId="0">
      <selection activeCell="B11" activeCellId="1" sqref="A5:XFD7 B11"/>
    </sheetView>
  </sheetViews>
  <sheetFormatPr defaultColWidth="9.140625" defaultRowHeight="15" x14ac:dyDescent="0.25"/>
  <cols>
    <col min="1" max="1" width="49.42578125" customWidth="1"/>
    <col min="2" max="2" width="17" customWidth="1"/>
    <col min="3" max="3" width="12.5703125" customWidth="1"/>
    <col min="4" max="4" width="12.42578125" style="13" customWidth="1"/>
    <col min="5" max="5" width="18" style="12" bestFit="1" customWidth="1"/>
    <col min="6" max="6" width="18.7109375" customWidth="1"/>
    <col min="7" max="7" width="13.7109375" style="13" customWidth="1"/>
    <col min="8" max="8" width="18.5703125" style="10" customWidth="1"/>
    <col min="9" max="9" width="15" style="12" customWidth="1"/>
    <col min="10" max="10" width="13.28515625" style="11" customWidth="1"/>
    <col min="11" max="11" width="16.5703125" style="12" customWidth="1"/>
    <col min="12" max="12" width="16.85546875" style="11" customWidth="1"/>
    <col min="13" max="16" width="15.5703125" style="12" customWidth="1"/>
    <col min="17" max="17" width="34.28515625" style="12" customWidth="1"/>
    <col min="18" max="18" width="15.28515625" bestFit="1" customWidth="1"/>
    <col min="19" max="19" width="17.42578125" style="11" bestFit="1" customWidth="1"/>
    <col min="20" max="20" width="18.42578125" customWidth="1"/>
    <col min="21" max="21" width="20.140625" bestFit="1" customWidth="1"/>
    <col min="22" max="22" width="28" customWidth="1"/>
    <col min="23" max="23" width="20.140625" bestFit="1" customWidth="1"/>
    <col min="24" max="24" width="11.85546875" bestFit="1" customWidth="1"/>
    <col min="25" max="25" width="12.5703125" customWidth="1"/>
    <col min="26" max="26" width="10.42578125" customWidth="1"/>
  </cols>
  <sheetData>
    <row r="1" spans="1:26" ht="15.75" x14ac:dyDescent="0.25">
      <c r="A1" s="22" t="s">
        <v>128</v>
      </c>
      <c r="B1" s="22" t="s">
        <v>127</v>
      </c>
      <c r="C1" s="22" t="s">
        <v>126</v>
      </c>
      <c r="D1" s="21" t="s">
        <v>125</v>
      </c>
      <c r="E1" s="19" t="s">
        <v>124</v>
      </c>
      <c r="F1" s="17" t="s">
        <v>136</v>
      </c>
      <c r="G1" s="20" t="s">
        <v>123</v>
      </c>
      <c r="H1" s="20" t="s">
        <v>122</v>
      </c>
      <c r="I1" s="19" t="s">
        <v>121</v>
      </c>
      <c r="J1" s="17" t="s">
        <v>120</v>
      </c>
      <c r="K1" s="19" t="s">
        <v>119</v>
      </c>
      <c r="L1" s="17" t="s">
        <v>118</v>
      </c>
      <c r="M1" s="19" t="s">
        <v>117</v>
      </c>
      <c r="N1" s="19" t="s">
        <v>116</v>
      </c>
      <c r="O1" s="19" t="s">
        <v>115</v>
      </c>
      <c r="P1" s="19" t="s">
        <v>114</v>
      </c>
      <c r="Q1" s="19" t="s">
        <v>113</v>
      </c>
      <c r="R1" s="18" t="s">
        <v>112</v>
      </c>
      <c r="S1" s="17" t="s">
        <v>111</v>
      </c>
      <c r="T1" s="17" t="s">
        <v>110</v>
      </c>
      <c r="U1" s="17" t="s">
        <v>109</v>
      </c>
      <c r="V1" s="17" t="s">
        <v>108</v>
      </c>
      <c r="W1" s="17" t="s">
        <v>107</v>
      </c>
      <c r="X1" s="17" t="s">
        <v>129</v>
      </c>
      <c r="Y1" s="17" t="s">
        <v>130</v>
      </c>
      <c r="Z1" s="17" t="s">
        <v>131</v>
      </c>
    </row>
    <row r="2" spans="1:26" x14ac:dyDescent="0.25">
      <c r="A2" t="s">
        <v>106</v>
      </c>
      <c r="B2" t="s">
        <v>105</v>
      </c>
      <c r="D2" t="s">
        <v>104</v>
      </c>
      <c r="E2" s="29">
        <v>3133.2246789252599</v>
      </c>
      <c r="F2" s="29">
        <v>250000</v>
      </c>
      <c r="G2" s="16">
        <f>F2/SUM($F$2:$F$25)</f>
        <v>2.4248302618816688E-2</v>
      </c>
      <c r="H2" s="16">
        <v>4.3999999999999997E-2</v>
      </c>
      <c r="I2" t="s">
        <v>78</v>
      </c>
      <c r="J2" t="s">
        <v>90</v>
      </c>
      <c r="K2" s="15">
        <v>79.790000915527301</v>
      </c>
      <c r="L2" s="11">
        <v>45107</v>
      </c>
      <c r="M2" t="s">
        <v>22</v>
      </c>
      <c r="N2" s="31" t="s">
        <v>21</v>
      </c>
      <c r="O2" s="31" t="s">
        <v>20</v>
      </c>
      <c r="P2" s="31" t="s">
        <v>99</v>
      </c>
      <c r="Q2" s="31" t="s">
        <v>103</v>
      </c>
      <c r="S2"/>
      <c r="X2" t="s">
        <v>78</v>
      </c>
      <c r="Y2" t="s">
        <v>90</v>
      </c>
      <c r="Z2" t="s">
        <v>132</v>
      </c>
    </row>
    <row r="3" spans="1:26" x14ac:dyDescent="0.25">
      <c r="A3" t="s">
        <v>102</v>
      </c>
      <c r="B3" t="s">
        <v>101</v>
      </c>
      <c r="D3" t="s">
        <v>100</v>
      </c>
      <c r="E3" s="29">
        <v>540.13178503466997</v>
      </c>
      <c r="F3" s="29">
        <v>250000</v>
      </c>
      <c r="G3" s="27">
        <f>F3/SUM($F$2:$F$25)</f>
        <v>2.4248302618816688E-2</v>
      </c>
      <c r="H3" s="16">
        <v>4.3999999999999997E-2</v>
      </c>
      <c r="I3" t="s">
        <v>78</v>
      </c>
      <c r="J3" t="s">
        <v>90</v>
      </c>
      <c r="K3" s="15">
        <v>462.850006103515</v>
      </c>
      <c r="L3" s="11">
        <v>45107</v>
      </c>
      <c r="M3" t="s">
        <v>22</v>
      </c>
      <c r="N3" s="31" t="s">
        <v>21</v>
      </c>
      <c r="O3" s="31" t="s">
        <v>20</v>
      </c>
      <c r="P3" s="31" t="s">
        <v>99</v>
      </c>
      <c r="Q3" s="31" t="s">
        <v>98</v>
      </c>
      <c r="S3"/>
      <c r="X3" t="s">
        <v>78</v>
      </c>
      <c r="Y3" t="s">
        <v>90</v>
      </c>
      <c r="Z3" t="s">
        <v>132</v>
      </c>
    </row>
    <row r="4" spans="1:26" x14ac:dyDescent="0.25">
      <c r="A4" t="s">
        <v>97</v>
      </c>
      <c r="B4" t="s">
        <v>96</v>
      </c>
      <c r="D4" t="s">
        <v>95</v>
      </c>
      <c r="E4" s="29">
        <v>7616.1461636253698</v>
      </c>
      <c r="F4" s="29">
        <v>200000</v>
      </c>
      <c r="G4" s="27">
        <f>F4/SUM($F$2:$F$25)</f>
        <v>1.9398642095053351E-2</v>
      </c>
      <c r="H4" s="16">
        <v>6.0499999999999998E-2</v>
      </c>
      <c r="I4" t="s">
        <v>78</v>
      </c>
      <c r="J4" t="s">
        <v>77</v>
      </c>
      <c r="K4" s="15">
        <v>26.2600002288818</v>
      </c>
      <c r="L4" s="11">
        <v>45107</v>
      </c>
      <c r="M4" t="s">
        <v>22</v>
      </c>
      <c r="N4" s="31" t="s">
        <v>21</v>
      </c>
      <c r="O4" s="31" t="s">
        <v>20</v>
      </c>
      <c r="P4" t="s">
        <v>76</v>
      </c>
      <c r="Q4" t="s">
        <v>94</v>
      </c>
      <c r="S4"/>
      <c r="X4" t="s">
        <v>78</v>
      </c>
      <c r="Y4" t="s">
        <v>77</v>
      </c>
      <c r="Z4" t="s">
        <v>132</v>
      </c>
    </row>
    <row r="5" spans="1:26" x14ac:dyDescent="0.25">
      <c r="A5" t="s">
        <v>93</v>
      </c>
      <c r="B5" t="s">
        <v>92</v>
      </c>
      <c r="D5" t="s">
        <v>91</v>
      </c>
      <c r="E5" s="29">
        <v>1137.3976579007799</v>
      </c>
      <c r="F5" s="29">
        <v>200000</v>
      </c>
      <c r="G5" s="27">
        <f>F5/SUM($F$2:$F$25)</f>
        <v>1.9398642095053351E-2</v>
      </c>
      <c r="H5" s="16">
        <v>5.1999999999999998E-2</v>
      </c>
      <c r="I5" t="s">
        <v>78</v>
      </c>
      <c r="J5" t="s">
        <v>90</v>
      </c>
      <c r="K5" s="15">
        <v>175.83999633789</v>
      </c>
      <c r="L5" s="11">
        <v>45107</v>
      </c>
      <c r="M5" t="s">
        <v>84</v>
      </c>
      <c r="N5" s="31" t="s">
        <v>89</v>
      </c>
      <c r="O5" s="31" t="s">
        <v>82</v>
      </c>
      <c r="P5" s="31" t="s">
        <v>76</v>
      </c>
      <c r="Q5" s="31" t="s">
        <v>88</v>
      </c>
      <c r="S5"/>
      <c r="X5" t="s">
        <v>78</v>
      </c>
      <c r="Y5" t="s">
        <v>90</v>
      </c>
      <c r="Z5" t="s">
        <v>132</v>
      </c>
    </row>
    <row r="6" spans="1:26" x14ac:dyDescent="0.25">
      <c r="A6" t="s">
        <v>87</v>
      </c>
      <c r="B6" t="s">
        <v>86</v>
      </c>
      <c r="D6" t="s">
        <v>85</v>
      </c>
      <c r="E6" s="29">
        <v>858.36909871244598</v>
      </c>
      <c r="F6" s="29">
        <v>200000</v>
      </c>
      <c r="G6" s="27">
        <f>F6/SUM($F$2:$F$25)</f>
        <v>1.9398642095053351E-2</v>
      </c>
      <c r="H6" s="16">
        <v>5.1999999999999998E-2</v>
      </c>
      <c r="I6" t="s">
        <v>78</v>
      </c>
      <c r="J6" t="s">
        <v>77</v>
      </c>
      <c r="K6" s="15">
        <v>233</v>
      </c>
      <c r="L6" s="11">
        <v>45107</v>
      </c>
      <c r="M6" t="s">
        <v>84</v>
      </c>
      <c r="N6" s="31" t="s">
        <v>83</v>
      </c>
      <c r="O6" s="31" t="s">
        <v>82</v>
      </c>
      <c r="P6" s="31" t="s">
        <v>76</v>
      </c>
      <c r="Q6" s="31" t="s">
        <v>75</v>
      </c>
      <c r="S6"/>
      <c r="X6" t="s">
        <v>78</v>
      </c>
      <c r="Y6" t="s">
        <v>77</v>
      </c>
      <c r="Z6" t="s">
        <v>133</v>
      </c>
    </row>
    <row r="7" spans="1:26" x14ac:dyDescent="0.25">
      <c r="A7" t="s">
        <v>81</v>
      </c>
      <c r="B7" t="s">
        <v>80</v>
      </c>
      <c r="D7" t="s">
        <v>79</v>
      </c>
      <c r="E7" s="29">
        <v>2312.9409043598898</v>
      </c>
      <c r="F7" s="29">
        <v>200000</v>
      </c>
      <c r="G7" s="27">
        <f>F7/SUM($F$2:$F$25)</f>
        <v>1.9398642095053351E-2</v>
      </c>
      <c r="H7" s="16">
        <v>5.1999999999999998E-2</v>
      </c>
      <c r="I7" t="s">
        <v>78</v>
      </c>
      <c r="J7" t="s">
        <v>77</v>
      </c>
      <c r="K7" s="15">
        <v>86.47</v>
      </c>
      <c r="L7" s="11">
        <v>45107</v>
      </c>
      <c r="M7" t="s">
        <v>22</v>
      </c>
      <c r="N7" s="31" t="s">
        <v>21</v>
      </c>
      <c r="O7" s="31" t="s">
        <v>20</v>
      </c>
      <c r="P7" s="31" t="s">
        <v>76</v>
      </c>
      <c r="Q7" s="31" t="s">
        <v>75</v>
      </c>
      <c r="S7"/>
      <c r="X7" t="s">
        <v>78</v>
      </c>
      <c r="Y7" t="s">
        <v>77</v>
      </c>
      <c r="Z7" t="s">
        <v>133</v>
      </c>
    </row>
    <row r="8" spans="1:26" x14ac:dyDescent="0.25">
      <c r="A8" t="s">
        <v>74</v>
      </c>
      <c r="B8" t="s">
        <v>73</v>
      </c>
      <c r="D8" t="s">
        <v>72</v>
      </c>
      <c r="E8" s="29">
        <v>88809.944908793594</v>
      </c>
      <c r="F8" s="29">
        <v>1000000</v>
      </c>
      <c r="G8" s="27">
        <f>F8/SUM($F$2:$F$25)</f>
        <v>9.6993210475266753E-2</v>
      </c>
      <c r="H8" s="16">
        <v>4.8000000000000001E-2</v>
      </c>
      <c r="I8" t="s">
        <v>46</v>
      </c>
      <c r="J8" t="s">
        <v>50</v>
      </c>
      <c r="K8" s="15">
        <v>11.2600002288818</v>
      </c>
      <c r="L8" s="11">
        <v>45107</v>
      </c>
      <c r="M8" t="s">
        <v>22</v>
      </c>
      <c r="N8" s="31" t="s">
        <v>21</v>
      </c>
      <c r="O8" s="31" t="s">
        <v>20</v>
      </c>
      <c r="P8" s="31" t="s">
        <v>19</v>
      </c>
      <c r="Q8" s="31" t="s">
        <v>37</v>
      </c>
      <c r="S8"/>
      <c r="X8" t="s">
        <v>46</v>
      </c>
      <c r="Y8" t="s">
        <v>50</v>
      </c>
      <c r="Z8" t="s">
        <v>134</v>
      </c>
    </row>
    <row r="9" spans="1:26" x14ac:dyDescent="0.25">
      <c r="A9" t="s">
        <v>71</v>
      </c>
      <c r="B9" t="s">
        <v>70</v>
      </c>
      <c r="D9" t="s">
        <v>69</v>
      </c>
      <c r="E9" s="29">
        <v>86206.893716782695</v>
      </c>
      <c r="F9" s="29">
        <v>1000000</v>
      </c>
      <c r="G9" s="27">
        <f>F9/SUM($F$2:$F$25)</f>
        <v>9.6993210475266753E-2</v>
      </c>
      <c r="H9" s="16">
        <v>4.8000000000000001E-2</v>
      </c>
      <c r="I9" t="s">
        <v>46</v>
      </c>
      <c r="J9" t="s">
        <v>50</v>
      </c>
      <c r="K9" s="15">
        <v>11.6000003814697</v>
      </c>
      <c r="L9" s="11">
        <v>45107</v>
      </c>
      <c r="M9" t="s">
        <v>22</v>
      </c>
      <c r="N9" s="31" t="s">
        <v>21</v>
      </c>
      <c r="O9" s="31" t="s">
        <v>20</v>
      </c>
      <c r="P9" s="31" t="s">
        <v>19</v>
      </c>
      <c r="Q9" s="31" t="s">
        <v>33</v>
      </c>
      <c r="S9"/>
      <c r="X9" t="s">
        <v>46</v>
      </c>
      <c r="Y9" t="s">
        <v>50</v>
      </c>
      <c r="Z9" t="s">
        <v>135</v>
      </c>
    </row>
    <row r="10" spans="1:26" x14ac:dyDescent="0.25">
      <c r="A10" t="s">
        <v>68</v>
      </c>
      <c r="B10" t="s">
        <v>67</v>
      </c>
      <c r="D10" t="s">
        <v>66</v>
      </c>
      <c r="E10" s="29">
        <v>348061.85535851697</v>
      </c>
      <c r="F10" s="29">
        <v>1900000</v>
      </c>
      <c r="G10" s="27">
        <f>F10/SUM($F$2:$F$25)</f>
        <v>0.18428709990300682</v>
      </c>
      <c r="H10" s="16">
        <v>4.8000000000000001E-2</v>
      </c>
      <c r="I10" t="s">
        <v>46</v>
      </c>
      <c r="J10" t="s">
        <v>45</v>
      </c>
      <c r="K10" s="15">
        <v>5.4587998390197701</v>
      </c>
      <c r="L10" s="11">
        <v>45107</v>
      </c>
      <c r="M10" t="s">
        <v>22</v>
      </c>
      <c r="N10" s="31" t="s">
        <v>21</v>
      </c>
      <c r="O10" s="31" t="s">
        <v>20</v>
      </c>
      <c r="P10" s="31" t="s">
        <v>19</v>
      </c>
      <c r="Q10" s="31" t="s">
        <v>18</v>
      </c>
      <c r="S10"/>
      <c r="X10" t="s">
        <v>46</v>
      </c>
      <c r="Y10" t="s">
        <v>45</v>
      </c>
      <c r="Z10" t="s">
        <v>135</v>
      </c>
    </row>
    <row r="11" spans="1:26" x14ac:dyDescent="0.25">
      <c r="A11" t="s">
        <v>65</v>
      </c>
      <c r="B11" t="s">
        <v>64</v>
      </c>
      <c r="D11" t="s">
        <v>63</v>
      </c>
      <c r="E11" s="29">
        <v>345140.77393311</v>
      </c>
      <c r="F11" s="29">
        <v>1900000</v>
      </c>
      <c r="G11" s="27">
        <f>F11/SUM($F$2:$F$25)</f>
        <v>0.18428709990300682</v>
      </c>
      <c r="H11" s="16">
        <v>4.8000000000000001E-2</v>
      </c>
      <c r="I11" t="s">
        <v>46</v>
      </c>
      <c r="J11" t="s">
        <v>45</v>
      </c>
      <c r="K11" s="15">
        <v>5.50500011444091</v>
      </c>
      <c r="L11" s="11">
        <v>45107</v>
      </c>
      <c r="M11" t="s">
        <v>22</v>
      </c>
      <c r="N11" s="31" t="s">
        <v>21</v>
      </c>
      <c r="O11" s="31" t="s">
        <v>20</v>
      </c>
      <c r="P11" s="31" t="s">
        <v>19</v>
      </c>
      <c r="Q11" t="s">
        <v>37</v>
      </c>
      <c r="S11"/>
      <c r="X11" t="s">
        <v>46</v>
      </c>
      <c r="Y11" t="s">
        <v>45</v>
      </c>
      <c r="Z11" t="s">
        <v>134</v>
      </c>
    </row>
    <row r="12" spans="1:26" x14ac:dyDescent="0.25">
      <c r="A12" t="s">
        <v>62</v>
      </c>
      <c r="B12" t="s">
        <v>61</v>
      </c>
      <c r="D12" t="s">
        <v>60</v>
      </c>
      <c r="E12" s="29">
        <v>8154.0203850509597</v>
      </c>
      <c r="F12" s="29">
        <v>900000</v>
      </c>
      <c r="G12" s="27">
        <f>F12/SUM($F$2:$F$25)</f>
        <v>8.7293889427740079E-2</v>
      </c>
      <c r="H12" s="16">
        <v>4.8000000000000001E-2</v>
      </c>
      <c r="I12" t="s">
        <v>46</v>
      </c>
      <c r="J12" t="s">
        <v>45</v>
      </c>
      <c r="K12" s="15">
        <v>110.375</v>
      </c>
      <c r="L12" s="11">
        <v>45107</v>
      </c>
      <c r="M12" t="s">
        <v>56</v>
      </c>
      <c r="N12" s="31" t="s">
        <v>55</v>
      </c>
      <c r="O12" s="31" t="s">
        <v>54</v>
      </c>
      <c r="P12" s="31" t="s">
        <v>19</v>
      </c>
      <c r="Q12" t="s">
        <v>33</v>
      </c>
      <c r="S12"/>
      <c r="X12" t="s">
        <v>46</v>
      </c>
      <c r="Y12" t="s">
        <v>45</v>
      </c>
      <c r="Z12" t="s">
        <v>135</v>
      </c>
    </row>
    <row r="13" spans="1:26" x14ac:dyDescent="0.25">
      <c r="A13" t="s">
        <v>59</v>
      </c>
      <c r="B13" t="s">
        <v>58</v>
      </c>
      <c r="D13" t="s">
        <v>57</v>
      </c>
      <c r="E13" s="29">
        <v>8591.0652920962202</v>
      </c>
      <c r="F13" s="29">
        <v>200000</v>
      </c>
      <c r="G13" s="27">
        <f>F13/SUM($F$2:$F$25)</f>
        <v>1.9398642095053351E-2</v>
      </c>
      <c r="H13" s="16">
        <v>7.0999999999999994E-2</v>
      </c>
      <c r="I13" t="s">
        <v>46</v>
      </c>
      <c r="J13" t="s">
        <v>50</v>
      </c>
      <c r="K13" s="15">
        <v>23.28</v>
      </c>
      <c r="L13" s="11">
        <v>45107</v>
      </c>
      <c r="M13" t="s">
        <v>56</v>
      </c>
      <c r="N13" s="31" t="s">
        <v>55</v>
      </c>
      <c r="O13" s="31" t="s">
        <v>54</v>
      </c>
      <c r="P13" s="31" t="s">
        <v>19</v>
      </c>
      <c r="Q13" t="s">
        <v>18</v>
      </c>
      <c r="S13"/>
      <c r="X13" t="s">
        <v>46</v>
      </c>
      <c r="Y13" t="s">
        <v>50</v>
      </c>
      <c r="Z13" t="s">
        <v>134</v>
      </c>
    </row>
    <row r="14" spans="1:26" x14ac:dyDescent="0.25">
      <c r="A14" t="s">
        <v>53</v>
      </c>
      <c r="B14" t="s">
        <v>52</v>
      </c>
      <c r="D14" t="s">
        <v>51</v>
      </c>
      <c r="E14" s="29">
        <v>5643.3408577878099</v>
      </c>
      <c r="F14" s="29">
        <v>200000</v>
      </c>
      <c r="G14" s="27">
        <f>F14/SUM($F$2:$F$25)</f>
        <v>1.9398642095053351E-2</v>
      </c>
      <c r="H14" s="16">
        <v>7.0999999999999994E-2</v>
      </c>
      <c r="I14" t="s">
        <v>46</v>
      </c>
      <c r="J14" t="s">
        <v>50</v>
      </c>
      <c r="K14" s="15">
        <v>35.44</v>
      </c>
      <c r="L14" s="11">
        <v>45107</v>
      </c>
      <c r="M14" t="s">
        <v>22</v>
      </c>
      <c r="N14" s="31" t="s">
        <v>21</v>
      </c>
      <c r="O14" s="31" t="s">
        <v>20</v>
      </c>
      <c r="P14" s="31" t="s">
        <v>19</v>
      </c>
      <c r="Q14" t="s">
        <v>37</v>
      </c>
      <c r="S14"/>
      <c r="X14" t="s">
        <v>46</v>
      </c>
      <c r="Y14" t="s">
        <v>50</v>
      </c>
      <c r="Z14" t="s">
        <v>135</v>
      </c>
    </row>
    <row r="15" spans="1:26" x14ac:dyDescent="0.25">
      <c r="A15" t="s">
        <v>49</v>
      </c>
      <c r="B15" t="s">
        <v>48</v>
      </c>
      <c r="D15" t="s">
        <v>47</v>
      </c>
      <c r="E15" s="29">
        <v>2428.0683905682999</v>
      </c>
      <c r="F15" s="29">
        <v>200000</v>
      </c>
      <c r="G15" s="27">
        <f>F15/SUM($F$2:$F$25)</f>
        <v>1.9398642095053351E-2</v>
      </c>
      <c r="H15" s="16">
        <v>7.0999999999999994E-2</v>
      </c>
      <c r="I15" t="s">
        <v>46</v>
      </c>
      <c r="J15" t="s">
        <v>45</v>
      </c>
      <c r="K15" s="15">
        <v>82.370002746582003</v>
      </c>
      <c r="L15" s="11">
        <v>45107</v>
      </c>
      <c r="M15" t="s">
        <v>22</v>
      </c>
      <c r="N15" s="31" t="s">
        <v>21</v>
      </c>
      <c r="O15" s="31" t="s">
        <v>20</v>
      </c>
      <c r="P15" s="31" t="s">
        <v>19</v>
      </c>
      <c r="Q15" t="s">
        <v>33</v>
      </c>
      <c r="S15"/>
      <c r="X15" t="s">
        <v>46</v>
      </c>
      <c r="Y15" t="s">
        <v>45</v>
      </c>
      <c r="Z15" t="s">
        <v>135</v>
      </c>
    </row>
    <row r="16" spans="1:26" x14ac:dyDescent="0.25">
      <c r="A16" t="s">
        <v>44</v>
      </c>
      <c r="B16" t="s">
        <v>43</v>
      </c>
      <c r="C16" t="s">
        <v>43</v>
      </c>
      <c r="D16" t="s">
        <v>42</v>
      </c>
      <c r="E16" s="29">
        <v>72909.0415921229</v>
      </c>
      <c r="F16" s="29">
        <v>150000</v>
      </c>
      <c r="G16" s="27">
        <f>F16/SUM($F$2:$F$25)</f>
        <v>1.4548981571290013E-2</v>
      </c>
      <c r="H16" s="16">
        <v>0.05</v>
      </c>
      <c r="I16" t="s">
        <v>26</v>
      </c>
      <c r="J16" t="s">
        <v>38</v>
      </c>
      <c r="K16" s="15">
        <v>2.0573580001112699</v>
      </c>
      <c r="L16" s="11">
        <v>45107</v>
      </c>
      <c r="M16" t="s">
        <v>22</v>
      </c>
      <c r="N16" s="31" t="s">
        <v>21</v>
      </c>
      <c r="O16" s="31" t="s">
        <v>20</v>
      </c>
      <c r="P16" s="31" t="s">
        <v>19</v>
      </c>
      <c r="Q16" t="s">
        <v>18</v>
      </c>
      <c r="S16"/>
      <c r="X16" t="s">
        <v>26</v>
      </c>
      <c r="Y16" t="s">
        <v>38</v>
      </c>
      <c r="Z16" t="s">
        <v>38</v>
      </c>
    </row>
    <row r="17" spans="1:26" x14ac:dyDescent="0.25">
      <c r="A17" t="s">
        <v>41</v>
      </c>
      <c r="B17" t="s">
        <v>40</v>
      </c>
      <c r="C17" t="s">
        <v>40</v>
      </c>
      <c r="D17" t="s">
        <v>39</v>
      </c>
      <c r="E17" s="29">
        <v>93134.278359645105</v>
      </c>
      <c r="F17" s="29">
        <v>150000</v>
      </c>
      <c r="G17" s="27">
        <f>F17/SUM($F$2:$F$25)</f>
        <v>1.4548981571290013E-2</v>
      </c>
      <c r="H17" s="16">
        <v>0.05</v>
      </c>
      <c r="I17" t="s">
        <v>26</v>
      </c>
      <c r="J17" t="s">
        <v>38</v>
      </c>
      <c r="K17" s="15">
        <v>1.6105777877052201</v>
      </c>
      <c r="L17" s="11">
        <v>45107</v>
      </c>
      <c r="M17" t="s">
        <v>22</v>
      </c>
      <c r="N17" s="31" t="s">
        <v>21</v>
      </c>
      <c r="O17" s="31" t="s">
        <v>20</v>
      </c>
      <c r="P17" s="31" t="s">
        <v>19</v>
      </c>
      <c r="Q17" t="s">
        <v>37</v>
      </c>
      <c r="S17"/>
      <c r="X17" t="s">
        <v>26</v>
      </c>
      <c r="Y17" t="s">
        <v>38</v>
      </c>
      <c r="Z17" t="s">
        <v>38</v>
      </c>
    </row>
    <row r="18" spans="1:26" x14ac:dyDescent="0.25">
      <c r="A18" t="s">
        <v>36</v>
      </c>
      <c r="B18" t="s">
        <v>35</v>
      </c>
      <c r="C18" t="s">
        <v>35</v>
      </c>
      <c r="D18" t="s">
        <v>34</v>
      </c>
      <c r="E18" s="29">
        <v>164980.25120397101</v>
      </c>
      <c r="F18" s="29">
        <v>200000</v>
      </c>
      <c r="G18" s="27">
        <f>F18/SUM($F$2:$F$25)</f>
        <v>1.9398642095053351E-2</v>
      </c>
      <c r="H18" s="16">
        <v>9.2999999999999999E-2</v>
      </c>
      <c r="I18" t="s">
        <v>26</v>
      </c>
      <c r="J18" t="s">
        <v>25</v>
      </c>
      <c r="K18" s="15">
        <v>1.2122663078790701</v>
      </c>
      <c r="L18" s="11">
        <v>45107</v>
      </c>
      <c r="M18" t="s">
        <v>22</v>
      </c>
      <c r="N18" s="31" t="s">
        <v>21</v>
      </c>
      <c r="O18" s="31" t="s">
        <v>20</v>
      </c>
      <c r="P18" s="31" t="s">
        <v>19</v>
      </c>
      <c r="Q18" t="s">
        <v>33</v>
      </c>
      <c r="S18"/>
      <c r="X18" t="s">
        <v>26</v>
      </c>
      <c r="Y18" t="s">
        <v>25</v>
      </c>
      <c r="Z18" t="s">
        <v>25</v>
      </c>
    </row>
    <row r="19" spans="1:26" x14ac:dyDescent="0.25">
      <c r="A19" t="s">
        <v>32</v>
      </c>
      <c r="B19" t="s">
        <v>31</v>
      </c>
      <c r="C19" t="s">
        <v>31</v>
      </c>
      <c r="D19" t="s">
        <v>30</v>
      </c>
      <c r="E19" s="29">
        <v>173246.43870251501</v>
      </c>
      <c r="F19" s="29">
        <v>200000</v>
      </c>
      <c r="G19" s="27">
        <f>F19/SUM($F$2:$F$25)</f>
        <v>1.9398642095053351E-2</v>
      </c>
      <c r="H19" s="16">
        <v>9.2999999999999999E-2</v>
      </c>
      <c r="I19" t="s">
        <v>26</v>
      </c>
      <c r="J19" t="s">
        <v>25</v>
      </c>
      <c r="K19" s="15">
        <v>1.1544248845623999</v>
      </c>
      <c r="L19" s="11">
        <v>45107</v>
      </c>
      <c r="M19" t="s">
        <v>22</v>
      </c>
      <c r="N19" s="31" t="s">
        <v>21</v>
      </c>
      <c r="O19" s="31" t="s">
        <v>20</v>
      </c>
      <c r="P19" s="31" t="s">
        <v>19</v>
      </c>
      <c r="Q19" t="s">
        <v>18</v>
      </c>
      <c r="S19"/>
      <c r="X19" t="s">
        <v>26</v>
      </c>
      <c r="Y19" t="s">
        <v>25</v>
      </c>
      <c r="Z19" t="s">
        <v>25</v>
      </c>
    </row>
    <row r="20" spans="1:26" x14ac:dyDescent="0.25">
      <c r="A20" t="s">
        <v>29</v>
      </c>
      <c r="B20" t="s">
        <v>28</v>
      </c>
      <c r="C20" t="s">
        <v>28</v>
      </c>
      <c r="D20" t="s">
        <v>27</v>
      </c>
      <c r="E20" s="29">
        <v>200000</v>
      </c>
      <c r="F20" s="29">
        <v>200000</v>
      </c>
      <c r="G20" s="27">
        <f>F20/SUM($F$2:$F$25)</f>
        <v>1.9398642095053351E-2</v>
      </c>
      <c r="H20" s="16">
        <v>9.2999999999999999E-2</v>
      </c>
      <c r="I20" t="s">
        <v>26</v>
      </c>
      <c r="J20" t="s">
        <v>25</v>
      </c>
      <c r="K20" s="15">
        <v>1</v>
      </c>
      <c r="L20" s="11">
        <v>45107</v>
      </c>
      <c r="M20" t="s">
        <v>22</v>
      </c>
      <c r="N20" s="31" t="s">
        <v>21</v>
      </c>
      <c r="O20" s="31" t="s">
        <v>20</v>
      </c>
      <c r="P20" s="31" t="s">
        <v>19</v>
      </c>
      <c r="Q20" t="s">
        <v>18</v>
      </c>
      <c r="S20"/>
      <c r="X20" t="s">
        <v>26</v>
      </c>
      <c r="Y20" t="s">
        <v>25</v>
      </c>
      <c r="Z20" t="s">
        <v>25</v>
      </c>
    </row>
    <row r="21" spans="1:26" x14ac:dyDescent="0.25">
      <c r="A21" s="24" t="s">
        <v>137</v>
      </c>
      <c r="B21" s="24"/>
      <c r="C21" s="28" t="s">
        <v>138</v>
      </c>
      <c r="D21" s="24"/>
      <c r="E21" s="23">
        <v>100000</v>
      </c>
      <c r="F21" s="23">
        <v>100000</v>
      </c>
      <c r="G21" s="27">
        <f>F21/SUM($F$2:$F$25)</f>
        <v>9.6993210475266756E-3</v>
      </c>
      <c r="H21" s="27">
        <v>3.6999999999999998E-2</v>
      </c>
      <c r="I21" s="24" t="s">
        <v>46</v>
      </c>
      <c r="J21" s="24" t="s">
        <v>46</v>
      </c>
      <c r="K21" s="26">
        <v>98</v>
      </c>
      <c r="L21" s="25">
        <v>45107</v>
      </c>
      <c r="M21" s="24" t="s">
        <v>22</v>
      </c>
      <c r="N21" s="31" t="s">
        <v>21</v>
      </c>
      <c r="O21" s="31" t="s">
        <v>20</v>
      </c>
      <c r="P21" s="31" t="s">
        <v>99</v>
      </c>
      <c r="Q21" s="24" t="s">
        <v>99</v>
      </c>
      <c r="R21" s="24"/>
      <c r="S21" s="24"/>
      <c r="T21" s="24"/>
      <c r="U21" s="24"/>
      <c r="V21" s="24"/>
      <c r="W21" s="24"/>
      <c r="X21" s="24" t="s">
        <v>46</v>
      </c>
      <c r="Y21" s="24" t="s">
        <v>46</v>
      </c>
      <c r="Z21" s="24" t="s">
        <v>46</v>
      </c>
    </row>
    <row r="22" spans="1:26" x14ac:dyDescent="0.25">
      <c r="A22" s="24" t="s">
        <v>139</v>
      </c>
      <c r="B22" s="24"/>
      <c r="C22" s="28" t="s">
        <v>140</v>
      </c>
      <c r="D22" s="24"/>
      <c r="E22" s="23">
        <v>100000</v>
      </c>
      <c r="F22" s="23">
        <v>100000</v>
      </c>
      <c r="G22" s="27">
        <f>F22/SUM($F$2:$F$25)</f>
        <v>9.6993210475266756E-3</v>
      </c>
      <c r="H22" s="27">
        <v>3.6999999999999998E-2</v>
      </c>
      <c r="I22" s="24" t="s">
        <v>46</v>
      </c>
      <c r="J22" s="24" t="s">
        <v>46</v>
      </c>
      <c r="K22" s="26">
        <v>98</v>
      </c>
      <c r="L22" s="25">
        <v>45107</v>
      </c>
      <c r="M22" s="24" t="s">
        <v>22</v>
      </c>
      <c r="N22" s="31" t="s">
        <v>21</v>
      </c>
      <c r="O22" s="31" t="s">
        <v>20</v>
      </c>
      <c r="P22" s="31" t="s">
        <v>99</v>
      </c>
      <c r="Q22" s="24" t="s">
        <v>99</v>
      </c>
      <c r="R22" s="24"/>
      <c r="S22" s="24"/>
      <c r="T22" s="24"/>
      <c r="U22" s="24"/>
      <c r="V22" s="24"/>
      <c r="W22" s="24"/>
      <c r="X22" s="24" t="s">
        <v>46</v>
      </c>
      <c r="Y22" s="24" t="s">
        <v>46</v>
      </c>
      <c r="Z22" s="24" t="s">
        <v>46</v>
      </c>
    </row>
    <row r="23" spans="1:26" x14ac:dyDescent="0.25">
      <c r="A23" s="24" t="s">
        <v>141</v>
      </c>
      <c r="B23" s="24"/>
      <c r="C23" s="28" t="s">
        <v>142</v>
      </c>
      <c r="D23" s="24"/>
      <c r="E23" s="23">
        <v>100000</v>
      </c>
      <c r="F23" s="23">
        <v>100000</v>
      </c>
      <c r="G23" s="27">
        <f>F23/SUM($F$2:$F$25)</f>
        <v>9.6993210475266756E-3</v>
      </c>
      <c r="H23" s="27">
        <v>3.6999999999999998E-2</v>
      </c>
      <c r="I23" s="24" t="s">
        <v>46</v>
      </c>
      <c r="J23" s="24" t="s">
        <v>46</v>
      </c>
      <c r="K23" s="26">
        <v>98</v>
      </c>
      <c r="L23" s="25">
        <v>45107</v>
      </c>
      <c r="M23" s="24" t="s">
        <v>22</v>
      </c>
      <c r="N23" s="31" t="s">
        <v>21</v>
      </c>
      <c r="O23" s="31" t="s">
        <v>20</v>
      </c>
      <c r="P23" s="31" t="s">
        <v>99</v>
      </c>
      <c r="Q23" s="24" t="s">
        <v>99</v>
      </c>
      <c r="R23" s="24"/>
      <c r="S23" s="24"/>
      <c r="T23" s="24"/>
      <c r="U23" s="24"/>
      <c r="V23" s="24"/>
      <c r="W23" s="24"/>
      <c r="X23" s="24" t="s">
        <v>46</v>
      </c>
      <c r="Y23" s="24" t="s">
        <v>46</v>
      </c>
      <c r="Z23" s="24" t="s">
        <v>46</v>
      </c>
    </row>
    <row r="24" spans="1:26" s="34" customFormat="1" x14ac:dyDescent="0.25">
      <c r="A24" s="33" t="s">
        <v>240</v>
      </c>
      <c r="B24"/>
      <c r="C24"/>
      <c r="D24" s="34" t="s">
        <v>241</v>
      </c>
      <c r="E24" s="23">
        <v>10000</v>
      </c>
      <c r="F24" s="23">
        <v>10000</v>
      </c>
      <c r="G24" s="27">
        <f>F24/SUM($F$2:$F$25)</f>
        <v>9.6993210475266754E-4</v>
      </c>
      <c r="H24" s="27">
        <v>3.6999999999999998E-2</v>
      </c>
      <c r="I24" s="34" t="s">
        <v>23</v>
      </c>
      <c r="J24" s="34" t="s">
        <v>23</v>
      </c>
      <c r="K24" s="15">
        <v>1</v>
      </c>
      <c r="L24" s="35">
        <v>45107</v>
      </c>
      <c r="M24" s="33" t="s">
        <v>172</v>
      </c>
    </row>
    <row r="25" spans="1:26" x14ac:dyDescent="0.25">
      <c r="A25" t="s">
        <v>23</v>
      </c>
      <c r="D25" t="s">
        <v>24</v>
      </c>
      <c r="E25" s="29">
        <v>499999.99999999901</v>
      </c>
      <c r="F25" s="29">
        <v>499999.99999999901</v>
      </c>
      <c r="G25" s="27">
        <f>F25/SUM($F$2:$F$25)</f>
        <v>4.8496605237633279E-2</v>
      </c>
      <c r="H25" s="16">
        <v>3.6999999999999998E-2</v>
      </c>
      <c r="I25" t="s">
        <v>23</v>
      </c>
      <c r="J25" t="s">
        <v>23</v>
      </c>
      <c r="K25" s="15">
        <v>1</v>
      </c>
      <c r="L25" s="11">
        <v>45107</v>
      </c>
      <c r="M25" t="s">
        <v>22</v>
      </c>
      <c r="N25" s="31" t="s">
        <v>21</v>
      </c>
      <c r="O25" s="31" t="s">
        <v>20</v>
      </c>
      <c r="P25" s="31" t="s">
        <v>19</v>
      </c>
      <c r="Q25" t="s">
        <v>18</v>
      </c>
      <c r="S25"/>
      <c r="X25" t="s">
        <v>23</v>
      </c>
      <c r="Y25" t="s">
        <v>23</v>
      </c>
      <c r="Z25" t="s">
        <v>23</v>
      </c>
    </row>
    <row r="26" spans="1:26" x14ac:dyDescent="0.25">
      <c r="A26" s="11"/>
    </row>
    <row r="27" spans="1:26" x14ac:dyDescent="0.25">
      <c r="N27" s="30"/>
      <c r="O27" s="30"/>
    </row>
    <row r="29" spans="1:26" x14ac:dyDescent="0.25">
      <c r="A29" s="11"/>
    </row>
    <row r="30" spans="1:26" x14ac:dyDescent="0.25">
      <c r="A30" s="11"/>
    </row>
    <row r="31" spans="1:26" x14ac:dyDescent="0.25">
      <c r="A31" s="11"/>
    </row>
    <row r="32" spans="1:26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6" x14ac:dyDescent="0.25">
      <c r="A49" s="11"/>
    </row>
    <row r="50" spans="1:6" x14ac:dyDescent="0.25">
      <c r="A50" s="11"/>
    </row>
    <row r="51" spans="1:6" x14ac:dyDescent="0.25">
      <c r="A51" s="11"/>
    </row>
    <row r="52" spans="1:6" x14ac:dyDescent="0.25">
      <c r="A52" s="11"/>
    </row>
    <row r="53" spans="1:6" x14ac:dyDescent="0.25">
      <c r="A53" s="11"/>
    </row>
    <row r="54" spans="1:6" x14ac:dyDescent="0.25">
      <c r="A54" s="11"/>
    </row>
    <row r="55" spans="1:6" x14ac:dyDescent="0.25">
      <c r="A55" s="11"/>
    </row>
    <row r="56" spans="1:6" x14ac:dyDescent="0.25">
      <c r="A56" s="11"/>
    </row>
    <row r="57" spans="1:6" x14ac:dyDescent="0.25">
      <c r="A57" s="11"/>
    </row>
    <row r="58" spans="1:6" x14ac:dyDescent="0.25">
      <c r="A58" s="11"/>
    </row>
    <row r="59" spans="1:6" x14ac:dyDescent="0.25">
      <c r="A59" s="11"/>
    </row>
    <row r="60" spans="1:6" x14ac:dyDescent="0.25">
      <c r="A60" s="11"/>
    </row>
    <row r="61" spans="1:6" x14ac:dyDescent="0.25">
      <c r="A61" s="11"/>
    </row>
    <row r="62" spans="1:6" x14ac:dyDescent="0.25">
      <c r="A62" s="11"/>
      <c r="F62" s="11"/>
    </row>
    <row r="63" spans="1:6" x14ac:dyDescent="0.25">
      <c r="A63" s="11"/>
      <c r="F63" s="11"/>
    </row>
    <row r="64" spans="1:6" x14ac:dyDescent="0.25">
      <c r="A64" s="11"/>
      <c r="F64" s="11"/>
    </row>
    <row r="65" spans="1:6" x14ac:dyDescent="0.25">
      <c r="A65" s="11"/>
    </row>
    <row r="66" spans="1:6" x14ac:dyDescent="0.25">
      <c r="A66" s="11"/>
      <c r="F66" s="11"/>
    </row>
    <row r="67" spans="1:6" x14ac:dyDescent="0.25">
      <c r="A67" s="11"/>
      <c r="F67" s="11"/>
    </row>
    <row r="68" spans="1:6" x14ac:dyDescent="0.25">
      <c r="A68" s="11"/>
    </row>
    <row r="69" spans="1:6" x14ac:dyDescent="0.25">
      <c r="A69" s="11"/>
      <c r="F69" s="11"/>
    </row>
    <row r="70" spans="1:6" x14ac:dyDescent="0.25">
      <c r="A70" s="11"/>
      <c r="F70" s="11"/>
    </row>
    <row r="71" spans="1:6" x14ac:dyDescent="0.25">
      <c r="A71" s="11"/>
      <c r="F71" s="11"/>
    </row>
    <row r="72" spans="1:6" x14ac:dyDescent="0.25">
      <c r="A72" s="11"/>
      <c r="F72" s="11"/>
    </row>
    <row r="73" spans="1:6" x14ac:dyDescent="0.25">
      <c r="A73" s="11"/>
    </row>
    <row r="74" spans="1:6" x14ac:dyDescent="0.25">
      <c r="A74" s="11"/>
      <c r="F74" s="11"/>
    </row>
    <row r="75" spans="1:6" x14ac:dyDescent="0.25">
      <c r="A75" s="11"/>
      <c r="F75" s="11"/>
    </row>
    <row r="76" spans="1:6" x14ac:dyDescent="0.25">
      <c r="A76" s="11"/>
      <c r="F76" s="11"/>
    </row>
    <row r="77" spans="1:6" x14ac:dyDescent="0.25">
      <c r="A77" s="11"/>
      <c r="F77" s="11"/>
    </row>
    <row r="78" spans="1:6" x14ac:dyDescent="0.25">
      <c r="A78" s="11"/>
      <c r="F78" s="11"/>
    </row>
    <row r="79" spans="1:6" x14ac:dyDescent="0.25">
      <c r="A79" s="11"/>
      <c r="F79" s="11"/>
    </row>
    <row r="80" spans="1:6" x14ac:dyDescent="0.25">
      <c r="A80" s="11"/>
      <c r="F80" s="11"/>
    </row>
    <row r="81" spans="1:6" x14ac:dyDescent="0.25">
      <c r="A81" s="11"/>
      <c r="F81" s="11"/>
    </row>
    <row r="82" spans="1:6" x14ac:dyDescent="0.25">
      <c r="A82" s="11"/>
      <c r="F82" s="11"/>
    </row>
    <row r="83" spans="1:6" x14ac:dyDescent="0.25">
      <c r="A83" s="11"/>
      <c r="F83" s="11"/>
    </row>
    <row r="84" spans="1:6" x14ac:dyDescent="0.25">
      <c r="A84" s="11"/>
      <c r="F84" s="11"/>
    </row>
    <row r="85" spans="1:6" x14ac:dyDescent="0.25">
      <c r="A85" s="11"/>
      <c r="F85" s="11"/>
    </row>
    <row r="86" spans="1:6" x14ac:dyDescent="0.25">
      <c r="A86" s="11"/>
      <c r="F86" s="11"/>
    </row>
    <row r="87" spans="1:6" x14ac:dyDescent="0.25">
      <c r="A87" s="11"/>
      <c r="F87" s="11"/>
    </row>
    <row r="88" spans="1:6" x14ac:dyDescent="0.25">
      <c r="A88" s="11"/>
      <c r="F88" s="11"/>
    </row>
    <row r="89" spans="1:6" x14ac:dyDescent="0.25">
      <c r="A89" s="11"/>
      <c r="F89" s="11"/>
    </row>
    <row r="90" spans="1:6" x14ac:dyDescent="0.25">
      <c r="A90" s="11"/>
      <c r="F90" s="11"/>
    </row>
    <row r="91" spans="1:6" x14ac:dyDescent="0.25">
      <c r="A91" s="11"/>
      <c r="F91" s="11"/>
    </row>
    <row r="92" spans="1:6" x14ac:dyDescent="0.25">
      <c r="A92" s="11"/>
      <c r="F92" s="11"/>
    </row>
    <row r="93" spans="1:6" x14ac:dyDescent="0.25">
      <c r="A93" s="11"/>
      <c r="F93" s="11"/>
    </row>
    <row r="94" spans="1:6" x14ac:dyDescent="0.25">
      <c r="A94" s="11"/>
      <c r="F94" s="11"/>
    </row>
    <row r="95" spans="1:6" x14ac:dyDescent="0.25">
      <c r="A95" s="11"/>
      <c r="F95" s="11"/>
    </row>
    <row r="96" spans="1:6" x14ac:dyDescent="0.25">
      <c r="A96" s="11"/>
      <c r="F96" s="11"/>
    </row>
    <row r="97" spans="1:6" x14ac:dyDescent="0.25">
      <c r="A97" s="11"/>
      <c r="F97" s="11"/>
    </row>
    <row r="98" spans="1:6" x14ac:dyDescent="0.25">
      <c r="A98" s="11"/>
      <c r="F98" s="11"/>
    </row>
    <row r="99" spans="1:6" x14ac:dyDescent="0.25">
      <c r="A99" s="11"/>
      <c r="F99" s="11"/>
    </row>
    <row r="100" spans="1:6" x14ac:dyDescent="0.25">
      <c r="A100" s="11"/>
      <c r="F100" s="11"/>
    </row>
    <row r="101" spans="1:6" x14ac:dyDescent="0.25">
      <c r="A101" s="11"/>
      <c r="F101" s="11"/>
    </row>
    <row r="102" spans="1:6" x14ac:dyDescent="0.25">
      <c r="A102" s="11"/>
      <c r="F102" s="11"/>
    </row>
    <row r="103" spans="1:6" x14ac:dyDescent="0.25">
      <c r="A103" s="11"/>
      <c r="F103" s="11"/>
    </row>
    <row r="104" spans="1:6" x14ac:dyDescent="0.25">
      <c r="A104" s="11"/>
      <c r="F104" s="11"/>
    </row>
    <row r="105" spans="1:6" x14ac:dyDescent="0.25">
      <c r="A105" s="11"/>
      <c r="F105" s="11"/>
    </row>
    <row r="106" spans="1:6" x14ac:dyDescent="0.25">
      <c r="A106" s="11"/>
      <c r="F106" s="11"/>
    </row>
    <row r="107" spans="1:6" x14ac:dyDescent="0.25">
      <c r="A107" s="11"/>
      <c r="F107" s="11"/>
    </row>
    <row r="108" spans="1:6" x14ac:dyDescent="0.25">
      <c r="A108" s="11"/>
      <c r="F108" s="11"/>
    </row>
    <row r="109" spans="1:6" x14ac:dyDescent="0.25">
      <c r="A109" s="11"/>
      <c r="F109" s="11"/>
    </row>
    <row r="110" spans="1:6" x14ac:dyDescent="0.25">
      <c r="A110" s="11"/>
      <c r="F110" s="11"/>
    </row>
    <row r="111" spans="1:6" x14ac:dyDescent="0.25">
      <c r="A111" s="11"/>
      <c r="F111" s="11"/>
    </row>
    <row r="112" spans="1:6" x14ac:dyDescent="0.25">
      <c r="A112" s="11"/>
      <c r="F112" s="11"/>
    </row>
    <row r="113" spans="1:6" x14ac:dyDescent="0.25">
      <c r="A113" s="11"/>
      <c r="F113" s="11"/>
    </row>
    <row r="114" spans="1:6" x14ac:dyDescent="0.25">
      <c r="A114" s="11"/>
      <c r="F114" s="11"/>
    </row>
    <row r="115" spans="1:6" x14ac:dyDescent="0.25">
      <c r="A115" s="11"/>
      <c r="F115" s="11"/>
    </row>
    <row r="116" spans="1:6" x14ac:dyDescent="0.25">
      <c r="A116" s="11"/>
      <c r="F116" s="11"/>
    </row>
    <row r="117" spans="1:6" x14ac:dyDescent="0.25">
      <c r="A117" s="11"/>
      <c r="F117" s="11"/>
    </row>
    <row r="118" spans="1:6" x14ac:dyDescent="0.25">
      <c r="A118" s="11"/>
      <c r="F118" s="11"/>
    </row>
    <row r="119" spans="1:6" x14ac:dyDescent="0.25">
      <c r="A119" s="11"/>
      <c r="F119" s="11"/>
    </row>
    <row r="120" spans="1:6" x14ac:dyDescent="0.25">
      <c r="A120" s="11"/>
      <c r="F120" s="11"/>
    </row>
    <row r="121" spans="1:6" x14ac:dyDescent="0.25">
      <c r="A121" s="11"/>
      <c r="F121" s="11"/>
    </row>
    <row r="122" spans="1:6" x14ac:dyDescent="0.25">
      <c r="A122" s="11"/>
      <c r="F122" s="11"/>
    </row>
    <row r="123" spans="1:6" x14ac:dyDescent="0.25">
      <c r="A123" s="11"/>
      <c r="F123" s="11"/>
    </row>
    <row r="124" spans="1:6" x14ac:dyDescent="0.25">
      <c r="A124" s="11"/>
      <c r="F124" s="11"/>
    </row>
    <row r="125" spans="1:6" x14ac:dyDescent="0.25">
      <c r="A125" s="11"/>
      <c r="F125" s="11"/>
    </row>
    <row r="126" spans="1:6" x14ac:dyDescent="0.25">
      <c r="A126" s="11"/>
      <c r="F126" s="11"/>
    </row>
    <row r="127" spans="1:6" x14ac:dyDescent="0.25">
      <c r="A127" s="11"/>
      <c r="F127" s="11"/>
    </row>
    <row r="128" spans="1:6" x14ac:dyDescent="0.25">
      <c r="A128" s="11"/>
      <c r="F128" s="11"/>
    </row>
    <row r="129" spans="1:6" x14ac:dyDescent="0.25">
      <c r="A129" s="11"/>
      <c r="F129" s="11"/>
    </row>
    <row r="130" spans="1:6" x14ac:dyDescent="0.25">
      <c r="A130" s="11"/>
      <c r="F130" s="11"/>
    </row>
    <row r="131" spans="1:6" x14ac:dyDescent="0.25">
      <c r="A131" s="11"/>
      <c r="F131" s="11"/>
    </row>
    <row r="132" spans="1:6" x14ac:dyDescent="0.25">
      <c r="A132" s="11"/>
      <c r="F132" s="11"/>
    </row>
    <row r="133" spans="1:6" x14ac:dyDescent="0.25">
      <c r="A133" s="11"/>
      <c r="F133" s="11"/>
    </row>
    <row r="134" spans="1:6" x14ac:dyDescent="0.25">
      <c r="A134" s="11"/>
      <c r="F134" s="11"/>
    </row>
    <row r="135" spans="1:6" x14ac:dyDescent="0.25">
      <c r="A135" s="11"/>
      <c r="F135" s="11"/>
    </row>
    <row r="136" spans="1:6" x14ac:dyDescent="0.25">
      <c r="A136" s="11"/>
      <c r="F136" s="11"/>
    </row>
    <row r="137" spans="1:6" x14ac:dyDescent="0.25">
      <c r="A137" s="11"/>
      <c r="F137" s="11"/>
    </row>
    <row r="138" spans="1:6" x14ac:dyDescent="0.25">
      <c r="A138" s="11"/>
      <c r="F138" s="11"/>
    </row>
    <row r="139" spans="1:6" x14ac:dyDescent="0.25">
      <c r="A139" s="11"/>
      <c r="F139" s="11"/>
    </row>
    <row r="140" spans="1:6" x14ac:dyDescent="0.25">
      <c r="A140" s="11"/>
      <c r="F140" s="11"/>
    </row>
    <row r="141" spans="1:6" x14ac:dyDescent="0.25">
      <c r="A141" s="11"/>
      <c r="F141" s="11"/>
    </row>
    <row r="142" spans="1:6" x14ac:dyDescent="0.25">
      <c r="A142" s="11"/>
      <c r="F142" s="11"/>
    </row>
    <row r="143" spans="1:6" x14ac:dyDescent="0.25">
      <c r="A143" s="11"/>
      <c r="F143" s="11"/>
    </row>
    <row r="144" spans="1:6" x14ac:dyDescent="0.25">
      <c r="A144" s="11"/>
      <c r="F144" s="11"/>
    </row>
    <row r="145" spans="1:6" x14ac:dyDescent="0.25">
      <c r="A145" s="11"/>
      <c r="F145" s="11"/>
    </row>
    <row r="146" spans="1:6" x14ac:dyDescent="0.25">
      <c r="A146" s="11"/>
      <c r="F146" s="11"/>
    </row>
    <row r="147" spans="1:6" x14ac:dyDescent="0.25">
      <c r="A147" s="11"/>
      <c r="F147" s="11"/>
    </row>
    <row r="148" spans="1:6" x14ac:dyDescent="0.25">
      <c r="A148" s="11"/>
      <c r="F148" s="11"/>
    </row>
    <row r="149" spans="1:6" x14ac:dyDescent="0.25">
      <c r="A149" s="11"/>
      <c r="F149" s="11"/>
    </row>
    <row r="150" spans="1:6" x14ac:dyDescent="0.25">
      <c r="A150" s="11"/>
      <c r="F150" s="11"/>
    </row>
    <row r="151" spans="1:6" x14ac:dyDescent="0.25">
      <c r="A151" s="11"/>
      <c r="F151" s="11"/>
    </row>
    <row r="152" spans="1:6" x14ac:dyDescent="0.25">
      <c r="A152" s="11"/>
      <c r="F152" s="11"/>
    </row>
    <row r="153" spans="1:6" x14ac:dyDescent="0.25">
      <c r="A153" s="11"/>
      <c r="F153" s="11"/>
    </row>
    <row r="154" spans="1:6" x14ac:dyDescent="0.25">
      <c r="A154" s="11"/>
      <c r="F154" s="11"/>
    </row>
    <row r="155" spans="1:6" x14ac:dyDescent="0.25">
      <c r="A155" s="11"/>
      <c r="F155" s="11"/>
    </row>
    <row r="156" spans="1:6" x14ac:dyDescent="0.25">
      <c r="A156" s="11"/>
      <c r="F156" s="11"/>
    </row>
    <row r="157" spans="1:6" x14ac:dyDescent="0.25">
      <c r="A157" s="11"/>
      <c r="F157" s="11"/>
    </row>
    <row r="158" spans="1:6" x14ac:dyDescent="0.25">
      <c r="A158" s="11"/>
      <c r="F158" s="11"/>
    </row>
    <row r="159" spans="1:6" x14ac:dyDescent="0.25">
      <c r="A159" s="11"/>
      <c r="F159" s="11"/>
    </row>
    <row r="160" spans="1:6" x14ac:dyDescent="0.25">
      <c r="A160" s="11"/>
      <c r="F160" s="11"/>
    </row>
    <row r="161" spans="1:6" x14ac:dyDescent="0.25">
      <c r="A161" s="11"/>
      <c r="F161" s="11"/>
    </row>
    <row r="162" spans="1:6" x14ac:dyDescent="0.25">
      <c r="A162" s="11"/>
      <c r="F162" s="11"/>
    </row>
    <row r="163" spans="1:6" x14ac:dyDescent="0.25">
      <c r="A163" s="11"/>
      <c r="F163" s="11"/>
    </row>
    <row r="164" spans="1:6" x14ac:dyDescent="0.25">
      <c r="A164" s="11"/>
      <c r="F164" s="11"/>
    </row>
    <row r="165" spans="1:6" x14ac:dyDescent="0.25">
      <c r="A165" s="11"/>
      <c r="F165" s="11"/>
    </row>
    <row r="166" spans="1:6" x14ac:dyDescent="0.25">
      <c r="A166" s="11"/>
      <c r="F166" s="11"/>
    </row>
    <row r="167" spans="1:6" x14ac:dyDescent="0.25">
      <c r="A167" s="11"/>
      <c r="F167" s="11"/>
    </row>
    <row r="168" spans="1:6" x14ac:dyDescent="0.25">
      <c r="A168" s="11"/>
      <c r="F168" s="11"/>
    </row>
    <row r="169" spans="1:6" x14ac:dyDescent="0.25">
      <c r="A169" s="11"/>
      <c r="F169" s="11"/>
    </row>
    <row r="170" spans="1:6" x14ac:dyDescent="0.25">
      <c r="A170" s="11"/>
      <c r="F170" s="11"/>
    </row>
    <row r="171" spans="1:6" x14ac:dyDescent="0.25">
      <c r="A171" s="11"/>
      <c r="F171" s="11"/>
    </row>
    <row r="172" spans="1:6" x14ac:dyDescent="0.25">
      <c r="A172" s="11"/>
      <c r="F172" s="11"/>
    </row>
    <row r="173" spans="1:6" x14ac:dyDescent="0.25">
      <c r="A173" s="11"/>
      <c r="F173" s="11"/>
    </row>
    <row r="174" spans="1:6" x14ac:dyDescent="0.25">
      <c r="A174" s="11"/>
      <c r="F174" s="11"/>
    </row>
    <row r="175" spans="1:6" x14ac:dyDescent="0.25">
      <c r="A175" s="11"/>
      <c r="F175" s="11"/>
    </row>
    <row r="176" spans="1:6" x14ac:dyDescent="0.25">
      <c r="A176" s="11"/>
      <c r="F176" s="11"/>
    </row>
    <row r="177" spans="1:6" x14ac:dyDescent="0.25">
      <c r="A177" s="11"/>
      <c r="F177" s="11"/>
    </row>
    <row r="178" spans="1:6" x14ac:dyDescent="0.25">
      <c r="A178" s="11"/>
      <c r="F178" s="11"/>
    </row>
    <row r="179" spans="1:6" x14ac:dyDescent="0.25">
      <c r="A179" s="11"/>
      <c r="F179" s="11"/>
    </row>
    <row r="180" spans="1:6" x14ac:dyDescent="0.25">
      <c r="A180" s="11"/>
      <c r="F180" s="11"/>
    </row>
    <row r="181" spans="1:6" x14ac:dyDescent="0.25">
      <c r="A181" s="11"/>
      <c r="F181" s="11"/>
    </row>
    <row r="182" spans="1:6" x14ac:dyDescent="0.25">
      <c r="A182" s="11"/>
      <c r="F182" s="11"/>
    </row>
    <row r="183" spans="1:6" x14ac:dyDescent="0.25">
      <c r="A183" s="11"/>
      <c r="F183" s="11"/>
    </row>
    <row r="184" spans="1:6" x14ac:dyDescent="0.25">
      <c r="A184" s="11"/>
      <c r="F184" s="11"/>
    </row>
    <row r="185" spans="1:6" x14ac:dyDescent="0.25">
      <c r="A185" s="11"/>
      <c r="F185" s="11"/>
    </row>
    <row r="186" spans="1:6" x14ac:dyDescent="0.25">
      <c r="A186" s="11"/>
      <c r="F186" s="11"/>
    </row>
    <row r="187" spans="1:6" x14ac:dyDescent="0.25">
      <c r="A187" s="11"/>
      <c r="F187" s="11"/>
    </row>
    <row r="188" spans="1:6" x14ac:dyDescent="0.25">
      <c r="A188" s="11"/>
      <c r="F188" s="11"/>
    </row>
    <row r="189" spans="1:6" x14ac:dyDescent="0.25">
      <c r="A189" s="11"/>
      <c r="F189" s="11"/>
    </row>
    <row r="190" spans="1:6" x14ac:dyDescent="0.25">
      <c r="A190" s="11"/>
      <c r="F190" s="11"/>
    </row>
    <row r="191" spans="1:6" x14ac:dyDescent="0.25">
      <c r="A191" s="11"/>
      <c r="F191" s="11"/>
    </row>
    <row r="192" spans="1:6" x14ac:dyDescent="0.25">
      <c r="A192" s="11"/>
      <c r="F192" s="11"/>
    </row>
    <row r="193" spans="1:6" x14ac:dyDescent="0.25">
      <c r="A193" s="11"/>
      <c r="F193" s="11"/>
    </row>
    <row r="194" spans="1:6" x14ac:dyDescent="0.25">
      <c r="A194" s="11"/>
      <c r="F194" s="11"/>
    </row>
    <row r="195" spans="1:6" x14ac:dyDescent="0.25">
      <c r="A195" s="14"/>
      <c r="F195" s="11"/>
    </row>
    <row r="196" spans="1:6" x14ac:dyDescent="0.25">
      <c r="A196" s="14"/>
      <c r="F196" s="11"/>
    </row>
    <row r="197" spans="1:6" x14ac:dyDescent="0.25">
      <c r="A197" s="14"/>
      <c r="F197" s="11"/>
    </row>
    <row r="198" spans="1:6" x14ac:dyDescent="0.25">
      <c r="A198" s="14"/>
      <c r="F198" s="11"/>
    </row>
    <row r="199" spans="1:6" x14ac:dyDescent="0.25">
      <c r="A199" s="14"/>
      <c r="F199" s="11"/>
    </row>
    <row r="200" spans="1:6" x14ac:dyDescent="0.25">
      <c r="A200" s="14"/>
      <c r="F200" s="11"/>
    </row>
    <row r="201" spans="1:6" x14ac:dyDescent="0.25">
      <c r="A201" s="14"/>
      <c r="F201" s="11"/>
    </row>
    <row r="202" spans="1:6" x14ac:dyDescent="0.25">
      <c r="A202" s="14"/>
      <c r="F202" s="11"/>
    </row>
    <row r="203" spans="1:6" x14ac:dyDescent="0.25">
      <c r="A203" s="14"/>
      <c r="F203" s="11"/>
    </row>
    <row r="204" spans="1:6" x14ac:dyDescent="0.25">
      <c r="A204" s="14"/>
      <c r="F204" s="11"/>
    </row>
    <row r="205" spans="1:6" x14ac:dyDescent="0.25">
      <c r="A205" s="14"/>
      <c r="F205" s="11"/>
    </row>
    <row r="206" spans="1:6" x14ac:dyDescent="0.25">
      <c r="A206" s="14"/>
      <c r="F206" s="11"/>
    </row>
    <row r="207" spans="1:6" x14ac:dyDescent="0.25">
      <c r="A207" s="14"/>
      <c r="F207" s="11"/>
    </row>
    <row r="208" spans="1:6" x14ac:dyDescent="0.25">
      <c r="A208" s="14"/>
      <c r="F208" s="11"/>
    </row>
    <row r="209" spans="1:6" x14ac:dyDescent="0.25">
      <c r="A209" s="14"/>
      <c r="F209" s="11"/>
    </row>
    <row r="210" spans="1:6" x14ac:dyDescent="0.25">
      <c r="A210" s="14"/>
      <c r="F210" s="11"/>
    </row>
    <row r="211" spans="1:6" x14ac:dyDescent="0.25">
      <c r="A211" s="14"/>
      <c r="F211" s="11"/>
    </row>
    <row r="212" spans="1:6" x14ac:dyDescent="0.25">
      <c r="A212" s="14"/>
      <c r="F212" s="11"/>
    </row>
    <row r="213" spans="1:6" x14ac:dyDescent="0.25">
      <c r="A213" s="14"/>
    </row>
    <row r="214" spans="1:6" x14ac:dyDescent="0.25">
      <c r="A214" s="14"/>
      <c r="F21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sheetData>
    <row r="1" spans="1:2" x14ac:dyDescent="0.25">
      <c r="A1" t="s">
        <v>144</v>
      </c>
      <c r="B1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workbookViewId="0">
      <selection activeCell="O1" sqref="O1:O1048576"/>
    </sheetView>
  </sheetViews>
  <sheetFormatPr defaultRowHeight="15" x14ac:dyDescent="0.25"/>
  <cols>
    <col min="15" max="15" width="21.42578125" customWidth="1"/>
  </cols>
  <sheetData>
    <row r="1" spans="1:40" x14ac:dyDescent="0.25">
      <c r="A1" t="s">
        <v>128</v>
      </c>
      <c r="B1" t="s">
        <v>136</v>
      </c>
      <c r="C1" t="s">
        <v>122</v>
      </c>
      <c r="D1" t="s">
        <v>129</v>
      </c>
      <c r="E1" t="s">
        <v>130</v>
      </c>
      <c r="F1" t="s">
        <v>131</v>
      </c>
      <c r="G1" t="s">
        <v>116</v>
      </c>
      <c r="H1" t="s">
        <v>115</v>
      </c>
      <c r="I1" t="s">
        <v>114</v>
      </c>
      <c r="J1" t="s">
        <v>113</v>
      </c>
      <c r="K1" t="s">
        <v>146</v>
      </c>
      <c r="L1" t="s">
        <v>127</v>
      </c>
      <c r="M1" t="s">
        <v>126</v>
      </c>
      <c r="N1" t="s">
        <v>125</v>
      </c>
      <c r="O1" t="s">
        <v>144</v>
      </c>
      <c r="P1" t="s">
        <v>117</v>
      </c>
      <c r="Q1" t="s">
        <v>121</v>
      </c>
      <c r="R1" t="s">
        <v>120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167</v>
      </c>
      <c r="AN1" t="s">
        <v>168</v>
      </c>
    </row>
    <row r="2" spans="1:40" x14ac:dyDescent="0.25">
      <c r="A2" t="s">
        <v>106</v>
      </c>
      <c r="B2">
        <v>250000</v>
      </c>
      <c r="C2">
        <v>4.3999999999999997E-2</v>
      </c>
      <c r="D2" t="s">
        <v>78</v>
      </c>
      <c r="E2" t="s">
        <v>90</v>
      </c>
      <c r="F2" t="s">
        <v>132</v>
      </c>
      <c r="G2" t="s">
        <v>21</v>
      </c>
      <c r="H2" t="s">
        <v>20</v>
      </c>
      <c r="I2" t="s">
        <v>99</v>
      </c>
      <c r="J2" t="s">
        <v>103</v>
      </c>
      <c r="K2">
        <v>0</v>
      </c>
      <c r="L2" t="s">
        <v>105</v>
      </c>
      <c r="N2" t="s">
        <v>104</v>
      </c>
      <c r="O2" t="s">
        <v>169</v>
      </c>
      <c r="P2" t="s">
        <v>22</v>
      </c>
      <c r="Q2" t="s">
        <v>78</v>
      </c>
      <c r="R2" t="s">
        <v>90</v>
      </c>
      <c r="S2">
        <v>79.790000915527301</v>
      </c>
      <c r="T2" s="32">
        <v>45107</v>
      </c>
      <c r="U2" t="s">
        <v>78</v>
      </c>
      <c r="V2" t="s">
        <v>90</v>
      </c>
      <c r="AB2">
        <v>250000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L2">
        <v>0</v>
      </c>
      <c r="AM2">
        <v>0</v>
      </c>
      <c r="AN2">
        <v>0</v>
      </c>
    </row>
    <row r="3" spans="1:40" x14ac:dyDescent="0.25">
      <c r="A3" t="s">
        <v>102</v>
      </c>
      <c r="B3">
        <v>250000</v>
      </c>
      <c r="C3">
        <v>4.3999999999999997E-2</v>
      </c>
      <c r="D3" t="s">
        <v>78</v>
      </c>
      <c r="E3" t="s">
        <v>90</v>
      </c>
      <c r="F3" t="s">
        <v>132</v>
      </c>
      <c r="G3" t="s">
        <v>21</v>
      </c>
      <c r="H3" t="s">
        <v>20</v>
      </c>
      <c r="I3" t="s">
        <v>99</v>
      </c>
      <c r="J3" t="s">
        <v>98</v>
      </c>
      <c r="K3">
        <v>1</v>
      </c>
      <c r="L3" t="s">
        <v>101</v>
      </c>
      <c r="N3" t="s">
        <v>100</v>
      </c>
      <c r="O3" t="s">
        <v>170</v>
      </c>
      <c r="P3" t="s">
        <v>22</v>
      </c>
      <c r="Q3" t="s">
        <v>78</v>
      </c>
      <c r="R3" t="s">
        <v>90</v>
      </c>
      <c r="S3">
        <v>462.850006103515</v>
      </c>
      <c r="T3" s="32">
        <v>45107</v>
      </c>
      <c r="U3" t="s">
        <v>78</v>
      </c>
      <c r="V3" t="s">
        <v>90</v>
      </c>
      <c r="AB3">
        <v>250000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L3">
        <v>0</v>
      </c>
      <c r="AM3">
        <v>0</v>
      </c>
      <c r="AN3">
        <v>0</v>
      </c>
    </row>
    <row r="4" spans="1:40" x14ac:dyDescent="0.25">
      <c r="A4" t="s">
        <v>97</v>
      </c>
      <c r="B4">
        <v>200000</v>
      </c>
      <c r="C4">
        <v>6.0499999999999998E-2</v>
      </c>
      <c r="D4" t="s">
        <v>78</v>
      </c>
      <c r="E4" t="s">
        <v>77</v>
      </c>
      <c r="F4" t="s">
        <v>132</v>
      </c>
      <c r="G4" t="s">
        <v>21</v>
      </c>
      <c r="H4" t="s">
        <v>20</v>
      </c>
      <c r="I4" t="s">
        <v>76</v>
      </c>
      <c r="J4" t="s">
        <v>94</v>
      </c>
      <c r="K4">
        <v>2</v>
      </c>
      <c r="L4" t="s">
        <v>96</v>
      </c>
      <c r="N4" t="s">
        <v>95</v>
      </c>
      <c r="O4" t="s">
        <v>171</v>
      </c>
      <c r="P4" t="s">
        <v>22</v>
      </c>
      <c r="Q4" t="s">
        <v>78</v>
      </c>
      <c r="R4" t="s">
        <v>77</v>
      </c>
      <c r="S4">
        <v>26.2600002288818</v>
      </c>
      <c r="T4" s="32">
        <v>45107</v>
      </c>
      <c r="U4" t="s">
        <v>78</v>
      </c>
      <c r="V4" t="s">
        <v>77</v>
      </c>
      <c r="AB4">
        <v>200000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L4">
        <v>0</v>
      </c>
      <c r="AM4">
        <v>0</v>
      </c>
      <c r="AN4">
        <v>0</v>
      </c>
    </row>
    <row r="5" spans="1:40" x14ac:dyDescent="0.25">
      <c r="A5" t="s">
        <v>93</v>
      </c>
      <c r="B5">
        <v>200000</v>
      </c>
      <c r="C5">
        <v>5.1999999999999998E-2</v>
      </c>
      <c r="D5" t="s">
        <v>78</v>
      </c>
      <c r="E5" t="s">
        <v>90</v>
      </c>
      <c r="F5" t="s">
        <v>132</v>
      </c>
      <c r="G5" t="s">
        <v>89</v>
      </c>
      <c r="H5" t="s">
        <v>82</v>
      </c>
      <c r="I5" t="s">
        <v>76</v>
      </c>
      <c r="J5" t="s">
        <v>88</v>
      </c>
      <c r="K5">
        <v>3</v>
      </c>
      <c r="L5" t="s">
        <v>92</v>
      </c>
      <c r="N5" t="s">
        <v>91</v>
      </c>
      <c r="O5" t="s">
        <v>173</v>
      </c>
      <c r="P5" t="s">
        <v>22</v>
      </c>
      <c r="Q5" t="s">
        <v>78</v>
      </c>
      <c r="R5" t="s">
        <v>90</v>
      </c>
      <c r="S5">
        <v>175.83999633789</v>
      </c>
      <c r="T5" s="32">
        <v>45107</v>
      </c>
      <c r="U5" t="s">
        <v>78</v>
      </c>
      <c r="V5" t="s">
        <v>90</v>
      </c>
      <c r="AB5">
        <v>200000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L5">
        <v>0</v>
      </c>
      <c r="AM5">
        <v>0</v>
      </c>
      <c r="AN5">
        <v>0</v>
      </c>
    </row>
    <row r="6" spans="1:40" x14ac:dyDescent="0.25">
      <c r="A6" t="s">
        <v>87</v>
      </c>
      <c r="B6">
        <v>200000</v>
      </c>
      <c r="C6">
        <v>5.1999999999999998E-2</v>
      </c>
      <c r="D6" t="s">
        <v>78</v>
      </c>
      <c r="E6" t="s">
        <v>77</v>
      </c>
      <c r="F6" t="s">
        <v>133</v>
      </c>
      <c r="G6" t="s">
        <v>83</v>
      </c>
      <c r="H6" t="s">
        <v>82</v>
      </c>
      <c r="I6" t="s">
        <v>76</v>
      </c>
      <c r="J6" t="s">
        <v>75</v>
      </c>
      <c r="K6">
        <v>4</v>
      </c>
      <c r="L6" t="s">
        <v>86</v>
      </c>
      <c r="N6" t="s">
        <v>85</v>
      </c>
      <c r="O6" t="s">
        <v>174</v>
      </c>
      <c r="P6" t="s">
        <v>22</v>
      </c>
      <c r="Q6" t="s">
        <v>78</v>
      </c>
      <c r="R6" t="s">
        <v>77</v>
      </c>
      <c r="S6">
        <v>233</v>
      </c>
      <c r="T6" s="32">
        <v>45107</v>
      </c>
      <c r="U6" t="s">
        <v>78</v>
      </c>
      <c r="V6" t="s">
        <v>77</v>
      </c>
      <c r="AB6">
        <v>200000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L6">
        <v>0</v>
      </c>
      <c r="AM6">
        <v>0</v>
      </c>
      <c r="AN6">
        <v>0</v>
      </c>
    </row>
    <row r="7" spans="1:40" x14ac:dyDescent="0.25">
      <c r="A7" t="s">
        <v>81</v>
      </c>
      <c r="B7">
        <v>200000</v>
      </c>
      <c r="C7">
        <v>5.1999999999999998E-2</v>
      </c>
      <c r="D7" t="s">
        <v>78</v>
      </c>
      <c r="E7" t="s">
        <v>77</v>
      </c>
      <c r="F7" t="s">
        <v>133</v>
      </c>
      <c r="G7" t="s">
        <v>21</v>
      </c>
      <c r="H7" t="s">
        <v>20</v>
      </c>
      <c r="I7" t="s">
        <v>76</v>
      </c>
      <c r="J7" t="s">
        <v>75</v>
      </c>
      <c r="K7">
        <v>5</v>
      </c>
      <c r="L7" t="s">
        <v>80</v>
      </c>
      <c r="N7" t="s">
        <v>79</v>
      </c>
      <c r="O7" t="s">
        <v>175</v>
      </c>
      <c r="P7" t="s">
        <v>22</v>
      </c>
      <c r="Q7" t="s">
        <v>78</v>
      </c>
      <c r="R7" t="s">
        <v>77</v>
      </c>
      <c r="S7">
        <v>86.47</v>
      </c>
      <c r="T7" s="32">
        <v>45107</v>
      </c>
      <c r="U7" t="s">
        <v>78</v>
      </c>
      <c r="V7" t="s">
        <v>77</v>
      </c>
      <c r="AB7">
        <v>200000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L7">
        <v>0</v>
      </c>
      <c r="AM7">
        <v>0</v>
      </c>
      <c r="AN7">
        <v>0</v>
      </c>
    </row>
    <row r="8" spans="1:40" x14ac:dyDescent="0.25">
      <c r="A8" t="s">
        <v>74</v>
      </c>
      <c r="B8">
        <v>1000000</v>
      </c>
      <c r="C8">
        <v>4.8000000000000001E-2</v>
      </c>
      <c r="D8" t="s">
        <v>46</v>
      </c>
      <c r="E8" t="s">
        <v>50</v>
      </c>
      <c r="F8" t="s">
        <v>134</v>
      </c>
      <c r="G8" t="s">
        <v>21</v>
      </c>
      <c r="H8" t="s">
        <v>20</v>
      </c>
      <c r="I8" t="s">
        <v>19</v>
      </c>
      <c r="J8" t="s">
        <v>37</v>
      </c>
      <c r="K8">
        <v>6</v>
      </c>
      <c r="L8" t="s">
        <v>73</v>
      </c>
      <c r="N8" t="s">
        <v>72</v>
      </c>
      <c r="O8" t="s">
        <v>176</v>
      </c>
      <c r="P8" t="s">
        <v>22</v>
      </c>
      <c r="Q8" t="s">
        <v>46</v>
      </c>
      <c r="R8" t="s">
        <v>50</v>
      </c>
      <c r="S8">
        <v>11.2600002288818</v>
      </c>
      <c r="T8" s="32">
        <v>45107</v>
      </c>
      <c r="U8" t="s">
        <v>46</v>
      </c>
      <c r="V8" t="s">
        <v>50</v>
      </c>
      <c r="AB8">
        <v>1000000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L8">
        <v>0</v>
      </c>
      <c r="AM8">
        <v>0</v>
      </c>
      <c r="AN8">
        <v>0</v>
      </c>
    </row>
    <row r="9" spans="1:40" x14ac:dyDescent="0.25">
      <c r="A9" t="s">
        <v>71</v>
      </c>
      <c r="B9">
        <v>1000000</v>
      </c>
      <c r="C9">
        <v>4.8000000000000001E-2</v>
      </c>
      <c r="D9" t="s">
        <v>46</v>
      </c>
      <c r="E9" t="s">
        <v>50</v>
      </c>
      <c r="F9" t="s">
        <v>135</v>
      </c>
      <c r="G9" t="s">
        <v>21</v>
      </c>
      <c r="H9" t="s">
        <v>20</v>
      </c>
      <c r="I9" t="s">
        <v>19</v>
      </c>
      <c r="J9" t="s">
        <v>33</v>
      </c>
      <c r="K9">
        <v>7</v>
      </c>
      <c r="L9" t="s">
        <v>70</v>
      </c>
      <c r="N9" t="s">
        <v>69</v>
      </c>
      <c r="O9" t="s">
        <v>177</v>
      </c>
      <c r="P9" t="s">
        <v>22</v>
      </c>
      <c r="Q9" t="s">
        <v>46</v>
      </c>
      <c r="R9" t="s">
        <v>50</v>
      </c>
      <c r="S9">
        <v>11.6000003814697</v>
      </c>
      <c r="T9" s="32">
        <v>45107</v>
      </c>
      <c r="U9" t="s">
        <v>46</v>
      </c>
      <c r="V9" t="s">
        <v>50</v>
      </c>
      <c r="AB9">
        <v>1000000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L9">
        <v>0</v>
      </c>
      <c r="AM9">
        <v>0</v>
      </c>
      <c r="AN9">
        <v>0</v>
      </c>
    </row>
    <row r="10" spans="1:40" x14ac:dyDescent="0.25">
      <c r="A10" t="s">
        <v>68</v>
      </c>
      <c r="B10">
        <v>1900000</v>
      </c>
      <c r="C10">
        <v>4.8000000000000001E-2</v>
      </c>
      <c r="D10" t="s">
        <v>46</v>
      </c>
      <c r="E10" t="s">
        <v>45</v>
      </c>
      <c r="F10" t="s">
        <v>135</v>
      </c>
      <c r="G10" t="s">
        <v>21</v>
      </c>
      <c r="H10" t="s">
        <v>20</v>
      </c>
      <c r="I10" t="s">
        <v>19</v>
      </c>
      <c r="J10" t="s">
        <v>18</v>
      </c>
      <c r="K10">
        <v>8</v>
      </c>
      <c r="L10" t="s">
        <v>67</v>
      </c>
      <c r="N10" t="s">
        <v>66</v>
      </c>
      <c r="O10" t="s">
        <v>178</v>
      </c>
      <c r="P10" t="s">
        <v>22</v>
      </c>
      <c r="Q10" t="s">
        <v>46</v>
      </c>
      <c r="R10" t="s">
        <v>45</v>
      </c>
      <c r="S10">
        <v>5.4587998390197701</v>
      </c>
      <c r="T10" s="32">
        <v>45107</v>
      </c>
      <c r="U10" t="s">
        <v>46</v>
      </c>
      <c r="V10" t="s">
        <v>45</v>
      </c>
      <c r="AB10">
        <v>1900000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L10">
        <v>0</v>
      </c>
      <c r="AM10">
        <v>0</v>
      </c>
      <c r="AN10">
        <v>0</v>
      </c>
    </row>
    <row r="11" spans="1:40" x14ac:dyDescent="0.25">
      <c r="A11" t="s">
        <v>65</v>
      </c>
      <c r="B11">
        <v>1900000</v>
      </c>
      <c r="C11">
        <v>4.8000000000000001E-2</v>
      </c>
      <c r="D11" t="s">
        <v>46</v>
      </c>
      <c r="E11" t="s">
        <v>45</v>
      </c>
      <c r="F11" t="s">
        <v>134</v>
      </c>
      <c r="G11" t="s">
        <v>21</v>
      </c>
      <c r="H11" t="s">
        <v>20</v>
      </c>
      <c r="I11" t="s">
        <v>19</v>
      </c>
      <c r="J11" t="s">
        <v>37</v>
      </c>
      <c r="K11">
        <v>9</v>
      </c>
      <c r="L11" t="s">
        <v>64</v>
      </c>
      <c r="N11" t="s">
        <v>63</v>
      </c>
      <c r="O11" t="s">
        <v>179</v>
      </c>
      <c r="P11" t="s">
        <v>22</v>
      </c>
      <c r="Q11" t="s">
        <v>46</v>
      </c>
      <c r="R11" t="s">
        <v>45</v>
      </c>
      <c r="S11">
        <v>5.50500011444091</v>
      </c>
      <c r="T11" s="32">
        <v>45107</v>
      </c>
      <c r="U11" t="s">
        <v>46</v>
      </c>
      <c r="V11" t="s">
        <v>45</v>
      </c>
      <c r="AB11">
        <v>1900000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L11">
        <v>0</v>
      </c>
      <c r="AM11">
        <v>0</v>
      </c>
      <c r="AN11">
        <v>0</v>
      </c>
    </row>
    <row r="12" spans="1:40" x14ac:dyDescent="0.25">
      <c r="A12" t="s">
        <v>62</v>
      </c>
      <c r="B12">
        <v>900000</v>
      </c>
      <c r="C12">
        <v>4.8000000000000001E-2</v>
      </c>
      <c r="D12" t="s">
        <v>46</v>
      </c>
      <c r="E12" t="s">
        <v>45</v>
      </c>
      <c r="F12" t="s">
        <v>135</v>
      </c>
      <c r="G12" t="s">
        <v>55</v>
      </c>
      <c r="H12" t="s">
        <v>54</v>
      </c>
      <c r="I12" t="s">
        <v>19</v>
      </c>
      <c r="J12" t="s">
        <v>33</v>
      </c>
      <c r="K12">
        <v>10</v>
      </c>
      <c r="L12" t="s">
        <v>61</v>
      </c>
      <c r="N12" t="s">
        <v>60</v>
      </c>
      <c r="O12" t="s">
        <v>180</v>
      </c>
      <c r="P12" t="s">
        <v>22</v>
      </c>
      <c r="Q12" t="s">
        <v>46</v>
      </c>
      <c r="R12" t="s">
        <v>45</v>
      </c>
      <c r="S12">
        <v>110.375</v>
      </c>
      <c r="T12" s="32">
        <v>45107</v>
      </c>
      <c r="U12" t="s">
        <v>46</v>
      </c>
      <c r="V12" t="s">
        <v>45</v>
      </c>
      <c r="AB12">
        <v>900000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L12">
        <v>0</v>
      </c>
      <c r="AM12">
        <v>0</v>
      </c>
      <c r="AN12">
        <v>0</v>
      </c>
    </row>
    <row r="13" spans="1:40" x14ac:dyDescent="0.25">
      <c r="A13" t="s">
        <v>59</v>
      </c>
      <c r="B13">
        <v>200000</v>
      </c>
      <c r="C13">
        <v>7.0999999999999994E-2</v>
      </c>
      <c r="D13" t="s">
        <v>46</v>
      </c>
      <c r="E13" t="s">
        <v>50</v>
      </c>
      <c r="F13" t="s">
        <v>134</v>
      </c>
      <c r="G13" t="s">
        <v>55</v>
      </c>
      <c r="H13" t="s">
        <v>54</v>
      </c>
      <c r="I13" t="s">
        <v>19</v>
      </c>
      <c r="J13" t="s">
        <v>18</v>
      </c>
      <c r="K13">
        <v>11</v>
      </c>
      <c r="L13" t="s">
        <v>58</v>
      </c>
      <c r="N13" t="s">
        <v>57</v>
      </c>
      <c r="O13" t="s">
        <v>181</v>
      </c>
      <c r="P13" t="s">
        <v>22</v>
      </c>
      <c r="Q13" t="s">
        <v>46</v>
      </c>
      <c r="R13" t="s">
        <v>50</v>
      </c>
      <c r="S13">
        <v>23.28</v>
      </c>
      <c r="T13" s="32">
        <v>45107</v>
      </c>
      <c r="U13" t="s">
        <v>46</v>
      </c>
      <c r="V13" t="s">
        <v>50</v>
      </c>
      <c r="AB13">
        <v>200000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L13">
        <v>0</v>
      </c>
      <c r="AM13">
        <v>0</v>
      </c>
      <c r="AN13">
        <v>0</v>
      </c>
    </row>
    <row r="14" spans="1:40" x14ac:dyDescent="0.25">
      <c r="A14" t="s">
        <v>53</v>
      </c>
      <c r="B14">
        <v>200000</v>
      </c>
      <c r="C14">
        <v>7.0999999999999994E-2</v>
      </c>
      <c r="D14" t="s">
        <v>46</v>
      </c>
      <c r="E14" t="s">
        <v>50</v>
      </c>
      <c r="F14" t="s">
        <v>135</v>
      </c>
      <c r="G14" t="s">
        <v>21</v>
      </c>
      <c r="H14" t="s">
        <v>20</v>
      </c>
      <c r="I14" t="s">
        <v>19</v>
      </c>
      <c r="J14" t="s">
        <v>37</v>
      </c>
      <c r="K14">
        <v>12</v>
      </c>
      <c r="L14" t="s">
        <v>52</v>
      </c>
      <c r="N14" t="s">
        <v>51</v>
      </c>
      <c r="O14" t="s">
        <v>182</v>
      </c>
      <c r="P14" t="s">
        <v>22</v>
      </c>
      <c r="Q14" t="s">
        <v>46</v>
      </c>
      <c r="R14" t="s">
        <v>50</v>
      </c>
      <c r="S14">
        <v>35.44</v>
      </c>
      <c r="T14" s="32">
        <v>45107</v>
      </c>
      <c r="U14" t="s">
        <v>46</v>
      </c>
      <c r="V14" t="s">
        <v>50</v>
      </c>
      <c r="AB14">
        <v>200000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L14">
        <v>0</v>
      </c>
      <c r="AM14">
        <v>0</v>
      </c>
      <c r="AN14">
        <v>0</v>
      </c>
    </row>
    <row r="15" spans="1:40" x14ac:dyDescent="0.25">
      <c r="A15" t="s">
        <v>49</v>
      </c>
      <c r="B15">
        <v>200000</v>
      </c>
      <c r="C15">
        <v>7.0999999999999994E-2</v>
      </c>
      <c r="D15" t="s">
        <v>46</v>
      </c>
      <c r="E15" t="s">
        <v>45</v>
      </c>
      <c r="F15" t="s">
        <v>135</v>
      </c>
      <c r="G15" t="s">
        <v>21</v>
      </c>
      <c r="H15" t="s">
        <v>20</v>
      </c>
      <c r="I15" t="s">
        <v>19</v>
      </c>
      <c r="J15" t="s">
        <v>33</v>
      </c>
      <c r="K15">
        <v>13</v>
      </c>
      <c r="L15" t="s">
        <v>48</v>
      </c>
      <c r="N15" t="s">
        <v>47</v>
      </c>
      <c r="O15" t="s">
        <v>183</v>
      </c>
      <c r="P15" t="s">
        <v>22</v>
      </c>
      <c r="Q15" t="s">
        <v>46</v>
      </c>
      <c r="R15" t="s">
        <v>45</v>
      </c>
      <c r="S15">
        <v>82.370002746582003</v>
      </c>
      <c r="T15" s="32">
        <v>45107</v>
      </c>
      <c r="U15" t="s">
        <v>46</v>
      </c>
      <c r="V15" t="s">
        <v>45</v>
      </c>
      <c r="AB15">
        <v>200000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L15">
        <v>0</v>
      </c>
      <c r="AM15">
        <v>0</v>
      </c>
      <c r="AN15">
        <v>0</v>
      </c>
    </row>
    <row r="16" spans="1:40" x14ac:dyDescent="0.25">
      <c r="A16" t="s">
        <v>44</v>
      </c>
      <c r="B16">
        <v>150000</v>
      </c>
      <c r="C16">
        <v>0.05</v>
      </c>
      <c r="D16" t="s">
        <v>26</v>
      </c>
      <c r="E16" t="s">
        <v>38</v>
      </c>
      <c r="F16" t="s">
        <v>38</v>
      </c>
      <c r="G16" t="s">
        <v>21</v>
      </c>
      <c r="H16" t="s">
        <v>20</v>
      </c>
      <c r="I16" t="s">
        <v>19</v>
      </c>
      <c r="J16" t="s">
        <v>18</v>
      </c>
      <c r="K16">
        <v>14</v>
      </c>
      <c r="L16" t="s">
        <v>43</v>
      </c>
      <c r="M16" t="s">
        <v>43</v>
      </c>
      <c r="N16" t="s">
        <v>42</v>
      </c>
      <c r="O16" t="s">
        <v>184</v>
      </c>
      <c r="P16" t="s">
        <v>22</v>
      </c>
      <c r="Q16" t="s">
        <v>26</v>
      </c>
      <c r="R16" t="s">
        <v>38</v>
      </c>
      <c r="S16">
        <v>2.0573580001112699</v>
      </c>
      <c r="T16" s="32">
        <v>45107</v>
      </c>
      <c r="U16" t="s">
        <v>26</v>
      </c>
      <c r="V16" t="s">
        <v>38</v>
      </c>
      <c r="AB16">
        <v>150000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L16">
        <v>0</v>
      </c>
      <c r="AM16">
        <v>0</v>
      </c>
      <c r="AN16">
        <v>0</v>
      </c>
    </row>
    <row r="17" spans="1:40" x14ac:dyDescent="0.25">
      <c r="A17" t="s">
        <v>41</v>
      </c>
      <c r="B17">
        <v>150000</v>
      </c>
      <c r="C17">
        <v>0.05</v>
      </c>
      <c r="D17" t="s">
        <v>26</v>
      </c>
      <c r="E17" t="s">
        <v>38</v>
      </c>
      <c r="F17" t="s">
        <v>38</v>
      </c>
      <c r="G17" t="s">
        <v>21</v>
      </c>
      <c r="H17" t="s">
        <v>20</v>
      </c>
      <c r="I17" t="s">
        <v>19</v>
      </c>
      <c r="J17" t="s">
        <v>37</v>
      </c>
      <c r="K17">
        <v>15</v>
      </c>
      <c r="L17" t="s">
        <v>40</v>
      </c>
      <c r="M17" t="s">
        <v>40</v>
      </c>
      <c r="N17" t="s">
        <v>39</v>
      </c>
      <c r="O17" t="s">
        <v>185</v>
      </c>
      <c r="P17" t="s">
        <v>22</v>
      </c>
      <c r="Q17" t="s">
        <v>26</v>
      </c>
      <c r="R17" t="s">
        <v>38</v>
      </c>
      <c r="S17">
        <v>1.6105777877052201</v>
      </c>
      <c r="T17" s="32">
        <v>45107</v>
      </c>
      <c r="U17" t="s">
        <v>26</v>
      </c>
      <c r="V17" t="s">
        <v>38</v>
      </c>
      <c r="AB17">
        <v>150000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L17">
        <v>0</v>
      </c>
      <c r="AM17">
        <v>0</v>
      </c>
      <c r="AN17">
        <v>0</v>
      </c>
    </row>
    <row r="18" spans="1:40" x14ac:dyDescent="0.25">
      <c r="A18" t="s">
        <v>36</v>
      </c>
      <c r="B18">
        <v>200000</v>
      </c>
      <c r="C18">
        <v>9.2999999999999999E-2</v>
      </c>
      <c r="D18" t="s">
        <v>26</v>
      </c>
      <c r="E18" t="s">
        <v>25</v>
      </c>
      <c r="F18" t="s">
        <v>25</v>
      </c>
      <c r="G18" t="s">
        <v>21</v>
      </c>
      <c r="H18" t="s">
        <v>20</v>
      </c>
      <c r="I18" t="s">
        <v>19</v>
      </c>
      <c r="J18" t="s">
        <v>33</v>
      </c>
      <c r="K18">
        <v>16</v>
      </c>
      <c r="L18" t="s">
        <v>35</v>
      </c>
      <c r="M18" t="s">
        <v>35</v>
      </c>
      <c r="N18" t="s">
        <v>34</v>
      </c>
      <c r="O18" t="s">
        <v>186</v>
      </c>
      <c r="P18" t="s">
        <v>22</v>
      </c>
      <c r="Q18" t="s">
        <v>26</v>
      </c>
      <c r="R18" t="s">
        <v>25</v>
      </c>
      <c r="S18">
        <v>1.2122663078790701</v>
      </c>
      <c r="T18" s="32">
        <v>45107</v>
      </c>
      <c r="U18" t="s">
        <v>26</v>
      </c>
      <c r="V18" t="s">
        <v>25</v>
      </c>
      <c r="AB18">
        <v>200000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L18">
        <v>0</v>
      </c>
      <c r="AM18">
        <v>0</v>
      </c>
      <c r="AN18">
        <v>0</v>
      </c>
    </row>
    <row r="19" spans="1:40" x14ac:dyDescent="0.25">
      <c r="A19" t="s">
        <v>32</v>
      </c>
      <c r="B19">
        <v>200000</v>
      </c>
      <c r="C19">
        <v>9.2999999999999999E-2</v>
      </c>
      <c r="D19" t="s">
        <v>26</v>
      </c>
      <c r="E19" t="s">
        <v>25</v>
      </c>
      <c r="F19" t="s">
        <v>25</v>
      </c>
      <c r="G19" t="s">
        <v>21</v>
      </c>
      <c r="H19" t="s">
        <v>20</v>
      </c>
      <c r="I19" t="s">
        <v>19</v>
      </c>
      <c r="J19" t="s">
        <v>18</v>
      </c>
      <c r="K19">
        <v>17</v>
      </c>
      <c r="L19" t="s">
        <v>31</v>
      </c>
      <c r="M19" t="s">
        <v>31</v>
      </c>
      <c r="N19" t="s">
        <v>30</v>
      </c>
      <c r="O19" t="s">
        <v>187</v>
      </c>
      <c r="P19" t="s">
        <v>22</v>
      </c>
      <c r="Q19" t="s">
        <v>26</v>
      </c>
      <c r="R19" t="s">
        <v>25</v>
      </c>
      <c r="S19">
        <v>1.1544248845623999</v>
      </c>
      <c r="T19" s="32">
        <v>45107</v>
      </c>
      <c r="U19" t="s">
        <v>26</v>
      </c>
      <c r="V19" t="s">
        <v>25</v>
      </c>
      <c r="AB19">
        <v>200000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L19">
        <v>0</v>
      </c>
      <c r="AM19">
        <v>0</v>
      </c>
      <c r="AN19">
        <v>0</v>
      </c>
    </row>
    <row r="20" spans="1:40" x14ac:dyDescent="0.25">
      <c r="A20" t="s">
        <v>29</v>
      </c>
      <c r="B20">
        <v>200000</v>
      </c>
      <c r="C20">
        <v>9.2999999999999999E-2</v>
      </c>
      <c r="D20" t="s">
        <v>26</v>
      </c>
      <c r="E20" t="s">
        <v>25</v>
      </c>
      <c r="F20" t="s">
        <v>25</v>
      </c>
      <c r="G20" t="s">
        <v>21</v>
      </c>
      <c r="H20" t="s">
        <v>20</v>
      </c>
      <c r="I20" t="s">
        <v>19</v>
      </c>
      <c r="J20" t="s">
        <v>18</v>
      </c>
      <c r="K20">
        <v>18</v>
      </c>
      <c r="L20" t="s">
        <v>28</v>
      </c>
      <c r="M20" t="s">
        <v>28</v>
      </c>
      <c r="N20" t="s">
        <v>27</v>
      </c>
      <c r="O20" t="s">
        <v>188</v>
      </c>
      <c r="P20" t="s">
        <v>22</v>
      </c>
      <c r="Q20" t="s">
        <v>26</v>
      </c>
      <c r="R20" t="s">
        <v>25</v>
      </c>
      <c r="S20">
        <v>1</v>
      </c>
      <c r="T20" s="32">
        <v>45107</v>
      </c>
      <c r="U20" t="s">
        <v>26</v>
      </c>
      <c r="V20" t="s">
        <v>25</v>
      </c>
      <c r="AB20">
        <v>200000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L20">
        <v>0</v>
      </c>
      <c r="AM20">
        <v>0</v>
      </c>
      <c r="AN20">
        <v>0</v>
      </c>
    </row>
    <row r="21" spans="1:40" x14ac:dyDescent="0.25">
      <c r="A21" t="s">
        <v>137</v>
      </c>
      <c r="B21">
        <v>100000</v>
      </c>
      <c r="C21">
        <v>3.6999999999999998E-2</v>
      </c>
      <c r="D21" t="s">
        <v>46</v>
      </c>
      <c r="E21" t="s">
        <v>46</v>
      </c>
      <c r="F21" t="s">
        <v>46</v>
      </c>
      <c r="G21" t="s">
        <v>21</v>
      </c>
      <c r="H21" t="s">
        <v>20</v>
      </c>
      <c r="I21" t="s">
        <v>99</v>
      </c>
      <c r="J21" t="s">
        <v>99</v>
      </c>
      <c r="K21">
        <v>19</v>
      </c>
      <c r="M21" t="s">
        <v>138</v>
      </c>
      <c r="O21" t="s">
        <v>189</v>
      </c>
      <c r="P21" t="s">
        <v>22</v>
      </c>
      <c r="Q21" t="s">
        <v>46</v>
      </c>
      <c r="R21" t="s">
        <v>46</v>
      </c>
      <c r="S21">
        <v>98</v>
      </c>
      <c r="T21" s="32">
        <v>45107</v>
      </c>
      <c r="U21" t="s">
        <v>46</v>
      </c>
      <c r="V21" t="s">
        <v>46</v>
      </c>
      <c r="AC21">
        <v>-4.5848894487905412</v>
      </c>
      <c r="AD21">
        <v>-103.49028995681775</v>
      </c>
      <c r="AE21">
        <v>0.45848894487905412</v>
      </c>
      <c r="AF21">
        <v>0.63500403271632422</v>
      </c>
      <c r="AG21">
        <v>10.349028995681774</v>
      </c>
      <c r="AH21">
        <v>228.16331434979631</v>
      </c>
      <c r="AI21">
        <v>43.748117727583846</v>
      </c>
      <c r="AJ21">
        <v>0.5</v>
      </c>
      <c r="AK21">
        <v>8.6790269839223486E-2</v>
      </c>
      <c r="AL21">
        <v>0</v>
      </c>
      <c r="AM21">
        <v>0</v>
      </c>
      <c r="AN21">
        <v>0</v>
      </c>
    </row>
    <row r="22" spans="1:40" x14ac:dyDescent="0.25">
      <c r="A22" t="s">
        <v>139</v>
      </c>
      <c r="B22">
        <v>100000</v>
      </c>
      <c r="C22">
        <v>3.6999999999999998E-2</v>
      </c>
      <c r="D22" t="s">
        <v>46</v>
      </c>
      <c r="E22" t="s">
        <v>46</v>
      </c>
      <c r="F22" t="s">
        <v>46</v>
      </c>
      <c r="G22" t="s">
        <v>21</v>
      </c>
      <c r="H22" t="s">
        <v>20</v>
      </c>
      <c r="I22" t="s">
        <v>99</v>
      </c>
      <c r="J22" t="s">
        <v>99</v>
      </c>
      <c r="K22">
        <v>20</v>
      </c>
      <c r="M22" t="s">
        <v>140</v>
      </c>
      <c r="O22" t="s">
        <v>190</v>
      </c>
      <c r="P22" t="s">
        <v>22</v>
      </c>
      <c r="Q22" t="s">
        <v>46</v>
      </c>
      <c r="R22" t="s">
        <v>46</v>
      </c>
      <c r="S22">
        <v>98</v>
      </c>
      <c r="T22" s="32">
        <v>45107</v>
      </c>
      <c r="U22" t="s">
        <v>46</v>
      </c>
      <c r="V22" t="s">
        <v>46</v>
      </c>
      <c r="AC22">
        <v>-4.6014481805223273</v>
      </c>
      <c r="AD22">
        <v>-106.92524160334305</v>
      </c>
      <c r="AE22">
        <v>0.46014481805223273</v>
      </c>
      <c r="AF22">
        <v>0.63961506230114651</v>
      </c>
      <c r="AG22">
        <v>10.692524160334305</v>
      </c>
      <c r="AH22">
        <v>244.58350357319247</v>
      </c>
      <c r="AI22">
        <v>43.874058863791923</v>
      </c>
      <c r="AJ22">
        <v>0.5</v>
      </c>
      <c r="AK22">
        <v>8.2865871379089864E-2</v>
      </c>
      <c r="AL22">
        <v>0</v>
      </c>
      <c r="AM22">
        <v>0</v>
      </c>
      <c r="AN22">
        <v>0</v>
      </c>
    </row>
    <row r="23" spans="1:40" x14ac:dyDescent="0.25">
      <c r="A23" t="s">
        <v>141</v>
      </c>
      <c r="B23">
        <v>100000</v>
      </c>
      <c r="C23">
        <v>3.6999999999999998E-2</v>
      </c>
      <c r="D23" t="s">
        <v>46</v>
      </c>
      <c r="E23" t="s">
        <v>46</v>
      </c>
      <c r="F23" t="s">
        <v>46</v>
      </c>
      <c r="G23" t="s">
        <v>21</v>
      </c>
      <c r="H23" t="s">
        <v>20</v>
      </c>
      <c r="I23" t="s">
        <v>99</v>
      </c>
      <c r="J23" t="s">
        <v>99</v>
      </c>
      <c r="K23">
        <v>21</v>
      </c>
      <c r="M23" t="s">
        <v>142</v>
      </c>
      <c r="O23" t="s">
        <v>191</v>
      </c>
      <c r="P23" t="s">
        <v>22</v>
      </c>
      <c r="Q23" t="s">
        <v>46</v>
      </c>
      <c r="R23" t="s">
        <v>46</v>
      </c>
      <c r="S23">
        <v>98</v>
      </c>
      <c r="T23" s="32">
        <v>45107</v>
      </c>
      <c r="U23" t="s">
        <v>46</v>
      </c>
      <c r="V23" t="s">
        <v>46</v>
      </c>
      <c r="AC23">
        <v>-4.6060264460510147</v>
      </c>
      <c r="AD23">
        <v>-108.19282321846546</v>
      </c>
      <c r="AE23">
        <v>0.46060264460510147</v>
      </c>
      <c r="AF23">
        <v>0.64089291367253054</v>
      </c>
      <c r="AG23">
        <v>10.819282321846545</v>
      </c>
      <c r="AH23">
        <v>249.89944036473588</v>
      </c>
      <c r="AI23">
        <v>43.874058863791923</v>
      </c>
      <c r="AJ23">
        <v>0.5</v>
      </c>
      <c r="AK23">
        <v>8.1785807500080243E-2</v>
      </c>
      <c r="AL23">
        <v>0</v>
      </c>
      <c r="AM23">
        <v>0</v>
      </c>
      <c r="AN23">
        <v>0</v>
      </c>
    </row>
    <row r="24" spans="1:40" x14ac:dyDescent="0.25">
      <c r="A24" t="s">
        <v>240</v>
      </c>
      <c r="B24">
        <v>10000</v>
      </c>
      <c r="C24">
        <v>3.6999999999999998E-2</v>
      </c>
      <c r="D24" t="s">
        <v>242</v>
      </c>
      <c r="E24" t="s">
        <v>242</v>
      </c>
      <c r="F24" t="s">
        <v>242</v>
      </c>
      <c r="G24" t="s">
        <v>242</v>
      </c>
      <c r="H24" t="s">
        <v>242</v>
      </c>
      <c r="I24" t="s">
        <v>242</v>
      </c>
      <c r="J24" t="s">
        <v>242</v>
      </c>
      <c r="K24">
        <v>22</v>
      </c>
      <c r="N24" t="s">
        <v>241</v>
      </c>
      <c r="O24" t="s">
        <v>243</v>
      </c>
      <c r="P24" t="s">
        <v>172</v>
      </c>
      <c r="Q24" t="s">
        <v>23</v>
      </c>
      <c r="R24" t="s">
        <v>23</v>
      </c>
      <c r="S24">
        <v>1</v>
      </c>
      <c r="T24" s="32">
        <v>45107</v>
      </c>
      <c r="U24" t="s">
        <v>23</v>
      </c>
      <c r="V24" t="s">
        <v>23</v>
      </c>
      <c r="AB24">
        <v>10000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L24">
        <v>0</v>
      </c>
      <c r="AM24">
        <v>0</v>
      </c>
      <c r="AN24">
        <v>0</v>
      </c>
    </row>
    <row r="25" spans="1:40" x14ac:dyDescent="0.25">
      <c r="A25" t="s">
        <v>23</v>
      </c>
      <c r="B25">
        <v>499999.99999999901</v>
      </c>
      <c r="C25">
        <v>3.6999999999999998E-2</v>
      </c>
      <c r="D25" t="s">
        <v>23</v>
      </c>
      <c r="E25" t="s">
        <v>23</v>
      </c>
      <c r="F25" t="s">
        <v>23</v>
      </c>
      <c r="G25" t="s">
        <v>21</v>
      </c>
      <c r="H25" t="s">
        <v>20</v>
      </c>
      <c r="I25" t="s">
        <v>19</v>
      </c>
      <c r="J25" t="s">
        <v>18</v>
      </c>
      <c r="K25">
        <v>23</v>
      </c>
      <c r="N25" t="s">
        <v>24</v>
      </c>
      <c r="O25" t="s">
        <v>192</v>
      </c>
      <c r="P25" t="s">
        <v>22</v>
      </c>
      <c r="Q25" t="s">
        <v>23</v>
      </c>
      <c r="R25" t="s">
        <v>23</v>
      </c>
      <c r="S25">
        <v>1</v>
      </c>
      <c r="T25" s="32">
        <v>45107</v>
      </c>
      <c r="U25" t="s">
        <v>23</v>
      </c>
      <c r="V25" t="s">
        <v>23</v>
      </c>
      <c r="AB25">
        <v>499999.99999999901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L25">
        <v>0</v>
      </c>
      <c r="AM25">
        <v>0</v>
      </c>
      <c r="AN25">
        <v>0</v>
      </c>
    </row>
    <row r="26" spans="1:40" x14ac:dyDescent="0.25">
      <c r="T26" s="32"/>
    </row>
    <row r="27" spans="1:40" x14ac:dyDescent="0.25">
      <c r="T27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L44" sqref="L44"/>
    </sheetView>
  </sheetViews>
  <sheetFormatPr defaultRowHeight="15" x14ac:dyDescent="0.25"/>
  <cols>
    <col min="2" max="2" width="14.42578125" customWidth="1"/>
    <col min="4" max="4" width="16.5703125" customWidth="1"/>
    <col min="9" max="9" width="12" customWidth="1"/>
  </cols>
  <sheetData>
    <row r="1" spans="1:9" x14ac:dyDescent="0.25">
      <c r="A1" t="s">
        <v>146</v>
      </c>
      <c r="B1" t="s">
        <v>144</v>
      </c>
      <c r="C1" t="s">
        <v>193</v>
      </c>
      <c r="D1" t="s">
        <v>194</v>
      </c>
      <c r="E1" t="s">
        <v>195</v>
      </c>
      <c r="F1" t="s">
        <v>156</v>
      </c>
      <c r="G1" t="s">
        <v>157</v>
      </c>
      <c r="H1" t="s">
        <v>158</v>
      </c>
      <c r="I1" t="s">
        <v>196</v>
      </c>
    </row>
    <row r="2" spans="1:9" x14ac:dyDescent="0.25">
      <c r="A2">
        <v>0</v>
      </c>
      <c r="B2" t="s">
        <v>169</v>
      </c>
      <c r="C2" t="s">
        <v>156</v>
      </c>
      <c r="D2" t="s">
        <v>169</v>
      </c>
      <c r="E2">
        <v>1</v>
      </c>
      <c r="F2">
        <v>250000</v>
      </c>
      <c r="G2">
        <v>0</v>
      </c>
      <c r="H2">
        <v>0</v>
      </c>
      <c r="I2">
        <v>250000</v>
      </c>
    </row>
    <row r="3" spans="1:9" x14ac:dyDescent="0.25">
      <c r="A3">
        <v>1</v>
      </c>
      <c r="B3" t="s">
        <v>170</v>
      </c>
      <c r="C3" t="s">
        <v>156</v>
      </c>
      <c r="D3" t="s">
        <v>170</v>
      </c>
      <c r="E3">
        <v>1</v>
      </c>
      <c r="F3">
        <v>250000</v>
      </c>
      <c r="G3">
        <v>0</v>
      </c>
      <c r="H3">
        <v>0</v>
      </c>
      <c r="I3">
        <v>250000</v>
      </c>
    </row>
    <row r="4" spans="1:9" x14ac:dyDescent="0.25">
      <c r="A4">
        <v>2</v>
      </c>
      <c r="B4" t="s">
        <v>171</v>
      </c>
      <c r="C4" t="s">
        <v>156</v>
      </c>
      <c r="D4" t="s">
        <v>171</v>
      </c>
      <c r="E4">
        <v>1</v>
      </c>
      <c r="F4">
        <v>200000</v>
      </c>
      <c r="G4">
        <v>0</v>
      </c>
      <c r="H4">
        <v>0</v>
      </c>
      <c r="I4">
        <v>200000</v>
      </c>
    </row>
    <row r="5" spans="1:9" x14ac:dyDescent="0.25">
      <c r="A5">
        <v>3</v>
      </c>
      <c r="B5" t="s">
        <v>173</v>
      </c>
      <c r="C5" t="s">
        <v>156</v>
      </c>
      <c r="D5" t="s">
        <v>173</v>
      </c>
      <c r="E5">
        <v>1</v>
      </c>
      <c r="F5">
        <v>200000</v>
      </c>
      <c r="G5">
        <v>0</v>
      </c>
      <c r="H5">
        <v>0</v>
      </c>
      <c r="I5">
        <v>200000</v>
      </c>
    </row>
    <row r="6" spans="1:9" x14ac:dyDescent="0.25">
      <c r="A6">
        <v>4</v>
      </c>
      <c r="B6" t="s">
        <v>174</v>
      </c>
      <c r="C6" t="s">
        <v>156</v>
      </c>
      <c r="D6" t="s">
        <v>174</v>
      </c>
      <c r="E6">
        <v>1</v>
      </c>
      <c r="F6">
        <v>200000</v>
      </c>
      <c r="G6">
        <v>0</v>
      </c>
      <c r="H6">
        <v>0</v>
      </c>
      <c r="I6">
        <v>200000</v>
      </c>
    </row>
    <row r="7" spans="1:9" x14ac:dyDescent="0.25">
      <c r="A7">
        <v>5</v>
      </c>
      <c r="B7" t="s">
        <v>175</v>
      </c>
      <c r="C7" t="s">
        <v>156</v>
      </c>
      <c r="D7" t="s">
        <v>175</v>
      </c>
      <c r="E7">
        <v>1</v>
      </c>
      <c r="F7">
        <v>200000</v>
      </c>
      <c r="G7">
        <v>0</v>
      </c>
      <c r="H7">
        <v>0</v>
      </c>
      <c r="I7">
        <v>200000</v>
      </c>
    </row>
    <row r="8" spans="1:9" x14ac:dyDescent="0.25">
      <c r="A8">
        <v>6</v>
      </c>
      <c r="B8" t="s">
        <v>176</v>
      </c>
      <c r="C8" t="s">
        <v>156</v>
      </c>
      <c r="D8" t="s">
        <v>176</v>
      </c>
      <c r="E8">
        <v>1</v>
      </c>
      <c r="F8">
        <v>1000000</v>
      </c>
      <c r="G8">
        <v>0</v>
      </c>
      <c r="H8">
        <v>0</v>
      </c>
      <c r="I8">
        <v>1000000</v>
      </c>
    </row>
    <row r="9" spans="1:9" x14ac:dyDescent="0.25">
      <c r="A9">
        <v>7</v>
      </c>
      <c r="B9" t="s">
        <v>177</v>
      </c>
      <c r="C9" t="s">
        <v>156</v>
      </c>
      <c r="D9" t="s">
        <v>177</v>
      </c>
      <c r="E9">
        <v>1</v>
      </c>
      <c r="F9">
        <v>1000000</v>
      </c>
      <c r="G9">
        <v>0</v>
      </c>
      <c r="H9">
        <v>0</v>
      </c>
      <c r="I9">
        <v>1000000</v>
      </c>
    </row>
    <row r="10" spans="1:9" x14ac:dyDescent="0.25">
      <c r="A10">
        <v>8</v>
      </c>
      <c r="B10" t="s">
        <v>178</v>
      </c>
      <c r="C10" t="s">
        <v>156</v>
      </c>
      <c r="D10" t="s">
        <v>178</v>
      </c>
      <c r="E10">
        <v>1</v>
      </c>
      <c r="F10">
        <v>1900000</v>
      </c>
      <c r="G10">
        <v>0</v>
      </c>
      <c r="H10">
        <v>0</v>
      </c>
      <c r="I10">
        <v>1900000</v>
      </c>
    </row>
    <row r="11" spans="1:9" x14ac:dyDescent="0.25">
      <c r="A11">
        <v>9</v>
      </c>
      <c r="B11" t="s">
        <v>179</v>
      </c>
      <c r="C11" t="s">
        <v>156</v>
      </c>
      <c r="D11" t="s">
        <v>179</v>
      </c>
      <c r="E11">
        <v>1</v>
      </c>
      <c r="F11">
        <v>1900000</v>
      </c>
      <c r="G11">
        <v>0</v>
      </c>
      <c r="H11">
        <v>0</v>
      </c>
      <c r="I11">
        <v>1900000</v>
      </c>
    </row>
    <row r="12" spans="1:9" x14ac:dyDescent="0.25">
      <c r="A12">
        <v>10</v>
      </c>
      <c r="B12" t="s">
        <v>180</v>
      </c>
      <c r="C12" t="s">
        <v>156</v>
      </c>
      <c r="D12" t="s">
        <v>180</v>
      </c>
      <c r="E12">
        <v>1</v>
      </c>
      <c r="F12">
        <v>900000</v>
      </c>
      <c r="G12">
        <v>0</v>
      </c>
      <c r="H12">
        <v>0</v>
      </c>
      <c r="I12">
        <v>900000</v>
      </c>
    </row>
    <row r="13" spans="1:9" x14ac:dyDescent="0.25">
      <c r="A13">
        <v>11</v>
      </c>
      <c r="B13" t="s">
        <v>181</v>
      </c>
      <c r="C13" t="s">
        <v>156</v>
      </c>
      <c r="D13" t="s">
        <v>181</v>
      </c>
      <c r="E13">
        <v>1</v>
      </c>
      <c r="F13">
        <v>200000</v>
      </c>
      <c r="G13">
        <v>0</v>
      </c>
      <c r="H13">
        <v>0</v>
      </c>
      <c r="I13">
        <v>200000</v>
      </c>
    </row>
    <row r="14" spans="1:9" x14ac:dyDescent="0.25">
      <c r="A14">
        <v>12</v>
      </c>
      <c r="B14" t="s">
        <v>182</v>
      </c>
      <c r="C14" t="s">
        <v>156</v>
      </c>
      <c r="D14" t="s">
        <v>182</v>
      </c>
      <c r="E14">
        <v>1</v>
      </c>
      <c r="F14">
        <v>200000</v>
      </c>
      <c r="G14">
        <v>0</v>
      </c>
      <c r="H14">
        <v>0</v>
      </c>
      <c r="I14">
        <v>200000</v>
      </c>
    </row>
    <row r="15" spans="1:9" x14ac:dyDescent="0.25">
      <c r="A15">
        <v>13</v>
      </c>
      <c r="B15" t="s">
        <v>183</v>
      </c>
      <c r="C15" t="s">
        <v>156</v>
      </c>
      <c r="D15" t="s">
        <v>183</v>
      </c>
      <c r="E15">
        <v>1</v>
      </c>
      <c r="F15">
        <v>200000</v>
      </c>
      <c r="G15">
        <v>0</v>
      </c>
      <c r="H15">
        <v>0</v>
      </c>
      <c r="I15">
        <v>200000</v>
      </c>
    </row>
    <row r="16" spans="1:9" x14ac:dyDescent="0.25">
      <c r="A16">
        <v>14</v>
      </c>
      <c r="B16" t="s">
        <v>184</v>
      </c>
      <c r="C16" t="s">
        <v>156</v>
      </c>
      <c r="D16" t="s">
        <v>184</v>
      </c>
      <c r="E16">
        <v>1</v>
      </c>
      <c r="F16">
        <v>150000</v>
      </c>
      <c r="G16">
        <v>0</v>
      </c>
      <c r="H16">
        <v>0</v>
      </c>
      <c r="I16">
        <v>150000</v>
      </c>
    </row>
    <row r="17" spans="1:9" x14ac:dyDescent="0.25">
      <c r="A17">
        <v>15</v>
      </c>
      <c r="B17" t="s">
        <v>185</v>
      </c>
      <c r="C17" t="s">
        <v>156</v>
      </c>
      <c r="D17" t="s">
        <v>185</v>
      </c>
      <c r="E17">
        <v>1</v>
      </c>
      <c r="F17">
        <v>150000</v>
      </c>
      <c r="G17">
        <v>0</v>
      </c>
      <c r="H17">
        <v>0</v>
      </c>
      <c r="I17">
        <v>150000</v>
      </c>
    </row>
    <row r="18" spans="1:9" x14ac:dyDescent="0.25">
      <c r="A18">
        <v>16</v>
      </c>
      <c r="B18" t="s">
        <v>186</v>
      </c>
      <c r="C18" t="s">
        <v>156</v>
      </c>
      <c r="D18" t="s">
        <v>186</v>
      </c>
      <c r="E18">
        <v>1</v>
      </c>
      <c r="F18">
        <v>200000</v>
      </c>
      <c r="G18">
        <v>0</v>
      </c>
      <c r="H18">
        <v>0</v>
      </c>
      <c r="I18">
        <v>200000</v>
      </c>
    </row>
    <row r="19" spans="1:9" x14ac:dyDescent="0.25">
      <c r="A19">
        <v>17</v>
      </c>
      <c r="B19" t="s">
        <v>187</v>
      </c>
      <c r="C19" t="s">
        <v>156</v>
      </c>
      <c r="D19" t="s">
        <v>187</v>
      </c>
      <c r="E19">
        <v>1</v>
      </c>
      <c r="F19">
        <v>200000</v>
      </c>
      <c r="G19">
        <v>0</v>
      </c>
      <c r="H19">
        <v>0</v>
      </c>
      <c r="I19">
        <v>200000</v>
      </c>
    </row>
    <row r="20" spans="1:9" x14ac:dyDescent="0.25">
      <c r="A20">
        <v>18</v>
      </c>
      <c r="B20" t="s">
        <v>188</v>
      </c>
      <c r="C20" t="s">
        <v>156</v>
      </c>
      <c r="D20" t="s">
        <v>188</v>
      </c>
      <c r="E20">
        <v>1</v>
      </c>
      <c r="F20">
        <v>200000</v>
      </c>
      <c r="G20">
        <v>0</v>
      </c>
      <c r="H20">
        <v>0</v>
      </c>
      <c r="I20">
        <v>200000</v>
      </c>
    </row>
    <row r="21" spans="1:9" x14ac:dyDescent="0.25">
      <c r="A21">
        <v>19</v>
      </c>
      <c r="B21" t="s">
        <v>189</v>
      </c>
      <c r="C21" t="s">
        <v>199</v>
      </c>
      <c r="D21" t="s">
        <v>189</v>
      </c>
      <c r="E21">
        <v>1</v>
      </c>
      <c r="G21">
        <v>-4.5848894487905412</v>
      </c>
      <c r="H21">
        <v>-103.49028995681775</v>
      </c>
      <c r="I21">
        <v>-10349.028995681774</v>
      </c>
    </row>
    <row r="22" spans="1:9" x14ac:dyDescent="0.25">
      <c r="A22">
        <v>19</v>
      </c>
      <c r="B22" t="s">
        <v>189</v>
      </c>
      <c r="C22" t="s">
        <v>200</v>
      </c>
      <c r="D22" t="s">
        <v>201</v>
      </c>
      <c r="E22">
        <v>1</v>
      </c>
      <c r="G22">
        <v>-4.5848894487905412</v>
      </c>
      <c r="H22">
        <v>-103.49028995681775</v>
      </c>
      <c r="I22">
        <v>-45848.894487905411</v>
      </c>
    </row>
    <row r="23" spans="1:9" x14ac:dyDescent="0.25">
      <c r="A23">
        <v>20</v>
      </c>
      <c r="B23" t="s">
        <v>190</v>
      </c>
      <c r="C23" t="s">
        <v>199</v>
      </c>
      <c r="D23" t="s">
        <v>190</v>
      </c>
      <c r="E23">
        <v>1</v>
      </c>
      <c r="G23">
        <v>-4.6014481805223273</v>
      </c>
      <c r="H23">
        <v>-106.92524160334305</v>
      </c>
      <c r="I23">
        <v>-10692.524160334306</v>
      </c>
    </row>
    <row r="24" spans="1:9" x14ac:dyDescent="0.25">
      <c r="A24">
        <v>20</v>
      </c>
      <c r="B24" t="s">
        <v>190</v>
      </c>
      <c r="C24" t="s">
        <v>200</v>
      </c>
      <c r="D24" t="s">
        <v>201</v>
      </c>
      <c r="E24">
        <v>1</v>
      </c>
      <c r="G24">
        <v>-4.6014481805223273</v>
      </c>
      <c r="H24">
        <v>-106.92524160334305</v>
      </c>
      <c r="I24">
        <v>-46014.481805223273</v>
      </c>
    </row>
    <row r="25" spans="1:9" x14ac:dyDescent="0.25">
      <c r="A25">
        <v>21</v>
      </c>
      <c r="B25" t="s">
        <v>191</v>
      </c>
      <c r="C25" t="s">
        <v>199</v>
      </c>
      <c r="D25" t="s">
        <v>191</v>
      </c>
      <c r="E25">
        <v>1</v>
      </c>
      <c r="G25">
        <v>-4.6060264460510147</v>
      </c>
      <c r="H25">
        <v>-108.19282321846546</v>
      </c>
      <c r="I25">
        <v>-10819.282321846546</v>
      </c>
    </row>
    <row r="26" spans="1:9" x14ac:dyDescent="0.25">
      <c r="A26">
        <v>21</v>
      </c>
      <c r="B26" t="s">
        <v>191</v>
      </c>
      <c r="C26" t="s">
        <v>200</v>
      </c>
      <c r="D26" t="s">
        <v>201</v>
      </c>
      <c r="E26">
        <v>1</v>
      </c>
      <c r="G26">
        <v>-4.6060264460510147</v>
      </c>
      <c r="H26">
        <v>-108.19282321846546</v>
      </c>
      <c r="I26">
        <v>-46060.264460510145</v>
      </c>
    </row>
    <row r="27" spans="1:9" x14ac:dyDescent="0.25">
      <c r="A27">
        <v>22</v>
      </c>
      <c r="B27" t="s">
        <v>243</v>
      </c>
      <c r="C27" t="s">
        <v>156</v>
      </c>
      <c r="D27" t="s">
        <v>243</v>
      </c>
      <c r="E27">
        <v>1</v>
      </c>
      <c r="F27">
        <v>10000</v>
      </c>
      <c r="G27">
        <v>0</v>
      </c>
      <c r="H27">
        <v>0</v>
      </c>
      <c r="I27">
        <v>10000</v>
      </c>
    </row>
    <row r="28" spans="1:9" x14ac:dyDescent="0.25">
      <c r="A28">
        <v>22</v>
      </c>
      <c r="B28" t="s">
        <v>243</v>
      </c>
      <c r="C28" t="s">
        <v>197</v>
      </c>
      <c r="D28" t="s">
        <v>198</v>
      </c>
      <c r="E28">
        <v>-1</v>
      </c>
      <c r="F28">
        <v>10000</v>
      </c>
      <c r="G28">
        <v>0</v>
      </c>
      <c r="H28">
        <v>0</v>
      </c>
      <c r="I28">
        <v>-10000</v>
      </c>
    </row>
    <row r="29" spans="1:9" x14ac:dyDescent="0.25">
      <c r="A29">
        <v>23</v>
      </c>
      <c r="B29" t="s">
        <v>192</v>
      </c>
      <c r="C29" t="s">
        <v>156</v>
      </c>
      <c r="D29" t="s">
        <v>192</v>
      </c>
      <c r="E29">
        <v>1</v>
      </c>
      <c r="F29">
        <v>499999.99999999901</v>
      </c>
      <c r="G29">
        <v>0</v>
      </c>
      <c r="H29">
        <v>0</v>
      </c>
      <c r="I29">
        <v>499999.99999999901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sheetData>
    <row r="1" spans="1:2" x14ac:dyDescent="0.25">
      <c r="A1" t="s">
        <v>202</v>
      </c>
      <c r="B1" t="s">
        <v>16</v>
      </c>
    </row>
    <row r="2" spans="1:2" x14ac:dyDescent="0.25">
      <c r="A2" t="s">
        <v>203</v>
      </c>
      <c r="B2">
        <v>3.7499999999999999E-2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 x14ac:dyDescent="0.25"/>
  <sheetData>
    <row r="1" spans="1:9" x14ac:dyDescent="0.25">
      <c r="A1" t="s">
        <v>204</v>
      </c>
      <c r="B1" t="s">
        <v>205</v>
      </c>
      <c r="C1" t="s">
        <v>144</v>
      </c>
      <c r="D1" t="s">
        <v>128</v>
      </c>
      <c r="E1" t="s">
        <v>117</v>
      </c>
      <c r="F1" t="s">
        <v>121</v>
      </c>
      <c r="G1" t="s">
        <v>120</v>
      </c>
      <c r="H1" t="s">
        <v>206</v>
      </c>
      <c r="I1" t="s">
        <v>207</v>
      </c>
    </row>
    <row r="2" spans="1:9" x14ac:dyDescent="0.25">
      <c r="A2">
        <v>0</v>
      </c>
      <c r="B2">
        <v>106</v>
      </c>
      <c r="C2" t="s">
        <v>170</v>
      </c>
      <c r="D2" t="s">
        <v>208</v>
      </c>
      <c r="E2" t="s">
        <v>22</v>
      </c>
      <c r="F2" t="s">
        <v>78</v>
      </c>
      <c r="G2" t="s">
        <v>90</v>
      </c>
      <c r="H2" t="s">
        <v>209</v>
      </c>
      <c r="I2" s="32">
        <v>45446</v>
      </c>
    </row>
    <row r="3" spans="1:9" x14ac:dyDescent="0.25">
      <c r="A3">
        <v>1</v>
      </c>
      <c r="B3">
        <v>877</v>
      </c>
      <c r="C3" t="s">
        <v>176</v>
      </c>
      <c r="D3" t="s">
        <v>74</v>
      </c>
      <c r="E3" t="s">
        <v>22</v>
      </c>
      <c r="F3" t="s">
        <v>46</v>
      </c>
      <c r="G3" t="s">
        <v>50</v>
      </c>
      <c r="I3" s="32">
        <v>45446</v>
      </c>
    </row>
    <row r="4" spans="1:9" x14ac:dyDescent="0.25">
      <c r="A4">
        <v>2</v>
      </c>
      <c r="B4">
        <v>878</v>
      </c>
      <c r="C4" t="s">
        <v>177</v>
      </c>
      <c r="D4" t="s">
        <v>71</v>
      </c>
      <c r="E4" t="s">
        <v>22</v>
      </c>
      <c r="F4" t="s">
        <v>46</v>
      </c>
      <c r="G4" t="s">
        <v>50</v>
      </c>
      <c r="I4" s="32">
        <v>45446</v>
      </c>
    </row>
    <row r="5" spans="1:9" x14ac:dyDescent="0.25">
      <c r="A5">
        <v>3</v>
      </c>
      <c r="B5">
        <v>885</v>
      </c>
      <c r="C5" t="s">
        <v>192</v>
      </c>
      <c r="D5" t="s">
        <v>210</v>
      </c>
      <c r="E5" t="s">
        <v>22</v>
      </c>
      <c r="F5" t="s">
        <v>23</v>
      </c>
      <c r="G5" t="s">
        <v>23</v>
      </c>
      <c r="I5" s="32">
        <v>45446</v>
      </c>
    </row>
    <row r="6" spans="1:9" x14ac:dyDescent="0.25">
      <c r="A6">
        <v>4</v>
      </c>
      <c r="B6">
        <v>886</v>
      </c>
      <c r="C6" t="s">
        <v>243</v>
      </c>
      <c r="D6" t="s">
        <v>240</v>
      </c>
      <c r="E6" t="s">
        <v>172</v>
      </c>
      <c r="F6" t="s">
        <v>23</v>
      </c>
      <c r="G6" t="s">
        <v>23</v>
      </c>
      <c r="I6" s="32">
        <v>45446</v>
      </c>
    </row>
    <row r="7" spans="1:9" x14ac:dyDescent="0.25">
      <c r="A7">
        <v>5</v>
      </c>
      <c r="B7">
        <v>912</v>
      </c>
      <c r="C7" t="s">
        <v>184</v>
      </c>
      <c r="D7" t="s">
        <v>44</v>
      </c>
      <c r="E7" t="s">
        <v>22</v>
      </c>
      <c r="F7" t="s">
        <v>26</v>
      </c>
      <c r="G7" t="s">
        <v>38</v>
      </c>
      <c r="I7" s="32">
        <v>45446</v>
      </c>
    </row>
    <row r="8" spans="1:9" x14ac:dyDescent="0.25">
      <c r="A8">
        <v>6</v>
      </c>
      <c r="B8">
        <v>913</v>
      </c>
      <c r="C8" t="s">
        <v>185</v>
      </c>
      <c r="D8" t="s">
        <v>41</v>
      </c>
      <c r="E8" t="s">
        <v>22</v>
      </c>
      <c r="F8" t="s">
        <v>26</v>
      </c>
      <c r="G8" t="s">
        <v>38</v>
      </c>
      <c r="I8" s="32">
        <v>45446</v>
      </c>
    </row>
    <row r="9" spans="1:9" x14ac:dyDescent="0.25">
      <c r="A9">
        <v>7</v>
      </c>
      <c r="B9">
        <v>914</v>
      </c>
      <c r="C9" t="s">
        <v>187</v>
      </c>
      <c r="D9" t="s">
        <v>32</v>
      </c>
      <c r="E9" t="s">
        <v>22</v>
      </c>
      <c r="F9" t="s">
        <v>26</v>
      </c>
      <c r="G9" t="s">
        <v>25</v>
      </c>
      <c r="I9" s="32">
        <v>45446</v>
      </c>
    </row>
    <row r="10" spans="1:9" x14ac:dyDescent="0.25">
      <c r="A10">
        <v>8</v>
      </c>
      <c r="B10">
        <v>915</v>
      </c>
      <c r="C10" t="s">
        <v>188</v>
      </c>
      <c r="D10" t="s">
        <v>29</v>
      </c>
      <c r="E10" t="s">
        <v>22</v>
      </c>
      <c r="F10" t="s">
        <v>26</v>
      </c>
      <c r="G10" t="s">
        <v>25</v>
      </c>
      <c r="I10" s="32">
        <v>45446</v>
      </c>
    </row>
    <row r="11" spans="1:9" x14ac:dyDescent="0.25">
      <c r="A11">
        <v>9</v>
      </c>
      <c r="B11">
        <v>916</v>
      </c>
      <c r="C11" t="s">
        <v>186</v>
      </c>
      <c r="D11" t="s">
        <v>36</v>
      </c>
      <c r="E11" t="s">
        <v>22</v>
      </c>
      <c r="F11" t="s">
        <v>26</v>
      </c>
      <c r="G11" t="s">
        <v>25</v>
      </c>
      <c r="I11" s="32">
        <v>45446</v>
      </c>
    </row>
    <row r="12" spans="1:9" x14ac:dyDescent="0.25">
      <c r="A12">
        <v>10</v>
      </c>
      <c r="B12">
        <v>882</v>
      </c>
      <c r="C12" t="s">
        <v>181</v>
      </c>
      <c r="D12" t="s">
        <v>59</v>
      </c>
      <c r="E12" t="s">
        <v>22</v>
      </c>
      <c r="F12" t="s">
        <v>46</v>
      </c>
      <c r="G12" t="s">
        <v>50</v>
      </c>
      <c r="I12" s="32">
        <v>45446</v>
      </c>
    </row>
    <row r="13" spans="1:9" x14ac:dyDescent="0.25">
      <c r="A13">
        <v>11</v>
      </c>
      <c r="B13">
        <v>883</v>
      </c>
      <c r="C13" t="s">
        <v>182</v>
      </c>
      <c r="D13" t="s">
        <v>53</v>
      </c>
      <c r="E13" t="s">
        <v>22</v>
      </c>
      <c r="F13" t="s">
        <v>46</v>
      </c>
      <c r="G13" t="s">
        <v>50</v>
      </c>
      <c r="I13" s="32">
        <v>45446</v>
      </c>
    </row>
    <row r="14" spans="1:9" x14ac:dyDescent="0.25">
      <c r="A14">
        <v>12</v>
      </c>
      <c r="B14">
        <v>1061</v>
      </c>
      <c r="C14" t="s">
        <v>189</v>
      </c>
      <c r="D14" t="s">
        <v>137</v>
      </c>
      <c r="E14" t="s">
        <v>22</v>
      </c>
      <c r="F14" t="s">
        <v>46</v>
      </c>
      <c r="G14" t="s">
        <v>46</v>
      </c>
      <c r="I14" s="32">
        <v>45467</v>
      </c>
    </row>
    <row r="15" spans="1:9" x14ac:dyDescent="0.25">
      <c r="A15">
        <v>13</v>
      </c>
      <c r="B15">
        <v>1062</v>
      </c>
      <c r="C15" t="s">
        <v>190</v>
      </c>
      <c r="D15" t="s">
        <v>139</v>
      </c>
      <c r="E15" t="s">
        <v>22</v>
      </c>
      <c r="F15" t="s">
        <v>46</v>
      </c>
      <c r="G15" t="s">
        <v>46</v>
      </c>
      <c r="I15" s="32">
        <v>45467</v>
      </c>
    </row>
    <row r="16" spans="1:9" x14ac:dyDescent="0.25">
      <c r="A16">
        <v>14</v>
      </c>
      <c r="B16">
        <v>1063</v>
      </c>
      <c r="C16" t="s">
        <v>191</v>
      </c>
      <c r="D16" t="s">
        <v>141</v>
      </c>
      <c r="E16" t="s">
        <v>22</v>
      </c>
      <c r="F16" t="s">
        <v>46</v>
      </c>
      <c r="G16" t="s">
        <v>46</v>
      </c>
      <c r="I16" s="32">
        <v>45467</v>
      </c>
    </row>
    <row r="17" spans="1:9" x14ac:dyDescent="0.25">
      <c r="A17">
        <v>15</v>
      </c>
      <c r="B17">
        <v>872</v>
      </c>
      <c r="C17" t="s">
        <v>169</v>
      </c>
      <c r="D17" t="s">
        <v>106</v>
      </c>
      <c r="E17" t="s">
        <v>22</v>
      </c>
      <c r="F17" t="s">
        <v>78</v>
      </c>
      <c r="G17" t="s">
        <v>90</v>
      </c>
      <c r="I17" s="32">
        <v>45446</v>
      </c>
    </row>
    <row r="18" spans="1:9" x14ac:dyDescent="0.25">
      <c r="A18">
        <v>16</v>
      </c>
      <c r="B18">
        <v>873</v>
      </c>
      <c r="C18" t="s">
        <v>171</v>
      </c>
      <c r="D18" t="s">
        <v>97</v>
      </c>
      <c r="E18" t="s">
        <v>22</v>
      </c>
      <c r="F18" t="s">
        <v>78</v>
      </c>
      <c r="G18" t="s">
        <v>77</v>
      </c>
      <c r="I18" s="32">
        <v>45446</v>
      </c>
    </row>
    <row r="19" spans="1:9" x14ac:dyDescent="0.25">
      <c r="A19">
        <v>17</v>
      </c>
      <c r="B19">
        <v>874</v>
      </c>
      <c r="C19" t="s">
        <v>173</v>
      </c>
      <c r="D19" t="s">
        <v>93</v>
      </c>
      <c r="E19" t="s">
        <v>22</v>
      </c>
      <c r="F19" t="s">
        <v>78</v>
      </c>
      <c r="G19" t="s">
        <v>90</v>
      </c>
      <c r="I19" s="32">
        <v>45446</v>
      </c>
    </row>
    <row r="20" spans="1:9" x14ac:dyDescent="0.25">
      <c r="A20">
        <v>18</v>
      </c>
      <c r="B20">
        <v>875</v>
      </c>
      <c r="C20" t="s">
        <v>174</v>
      </c>
      <c r="D20" t="s">
        <v>87</v>
      </c>
      <c r="E20" t="s">
        <v>22</v>
      </c>
      <c r="F20" t="s">
        <v>78</v>
      </c>
      <c r="G20" t="s">
        <v>77</v>
      </c>
      <c r="I20" s="32">
        <v>45446</v>
      </c>
    </row>
    <row r="21" spans="1:9" x14ac:dyDescent="0.25">
      <c r="A21">
        <v>19</v>
      </c>
      <c r="B21">
        <v>876</v>
      </c>
      <c r="C21" t="s">
        <v>175</v>
      </c>
      <c r="D21" t="s">
        <v>81</v>
      </c>
      <c r="E21" t="s">
        <v>22</v>
      </c>
      <c r="F21" t="s">
        <v>78</v>
      </c>
      <c r="G21" t="s">
        <v>77</v>
      </c>
      <c r="I21" s="32">
        <v>45446</v>
      </c>
    </row>
    <row r="22" spans="1:9" x14ac:dyDescent="0.25">
      <c r="A22">
        <v>20</v>
      </c>
      <c r="B22">
        <v>879</v>
      </c>
      <c r="C22" t="s">
        <v>178</v>
      </c>
      <c r="D22" t="s">
        <v>68</v>
      </c>
      <c r="E22" t="s">
        <v>22</v>
      </c>
      <c r="F22" t="s">
        <v>46</v>
      </c>
      <c r="G22" t="s">
        <v>45</v>
      </c>
      <c r="I22" s="32">
        <v>45446</v>
      </c>
    </row>
    <row r="23" spans="1:9" x14ac:dyDescent="0.25">
      <c r="A23">
        <v>21</v>
      </c>
      <c r="B23">
        <v>880</v>
      </c>
      <c r="C23" t="s">
        <v>179</v>
      </c>
      <c r="D23" t="s">
        <v>65</v>
      </c>
      <c r="E23" t="s">
        <v>22</v>
      </c>
      <c r="F23" t="s">
        <v>46</v>
      </c>
      <c r="G23" t="s">
        <v>45</v>
      </c>
      <c r="I23" s="32">
        <v>45446</v>
      </c>
    </row>
    <row r="24" spans="1:9" x14ac:dyDescent="0.25">
      <c r="A24">
        <v>22</v>
      </c>
      <c r="B24">
        <v>881</v>
      </c>
      <c r="C24" t="s">
        <v>180</v>
      </c>
      <c r="D24" t="s">
        <v>62</v>
      </c>
      <c r="E24" t="s">
        <v>22</v>
      </c>
      <c r="F24" t="s">
        <v>46</v>
      </c>
      <c r="G24" t="s">
        <v>45</v>
      </c>
      <c r="I24" s="32">
        <v>45446</v>
      </c>
    </row>
    <row r="25" spans="1:9" x14ac:dyDescent="0.25">
      <c r="A25">
        <v>23</v>
      </c>
      <c r="B25">
        <v>884</v>
      </c>
      <c r="C25" t="s">
        <v>183</v>
      </c>
      <c r="D25" t="s">
        <v>49</v>
      </c>
      <c r="E25" t="s">
        <v>22</v>
      </c>
      <c r="F25" t="s">
        <v>46</v>
      </c>
      <c r="G25" t="s">
        <v>45</v>
      </c>
      <c r="I25" s="32">
        <v>45446</v>
      </c>
    </row>
    <row r="26" spans="1:9" x14ac:dyDescent="0.25">
      <c r="I26" s="32"/>
    </row>
    <row r="27" spans="1:9" x14ac:dyDescent="0.25">
      <c r="I27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 x14ac:dyDescent="0.25"/>
  <sheetData>
    <row r="1" spans="1:3" x14ac:dyDescent="0.25">
      <c r="A1" t="s">
        <v>144</v>
      </c>
      <c r="B1" t="s">
        <v>119</v>
      </c>
      <c r="C1" t="s">
        <v>118</v>
      </c>
    </row>
    <row r="2" spans="1:3" x14ac:dyDescent="0.25">
      <c r="A2" t="s">
        <v>169</v>
      </c>
      <c r="B2">
        <v>79.790000915527344</v>
      </c>
      <c r="C2" s="32">
        <v>45107</v>
      </c>
    </row>
    <row r="3" spans="1:3" x14ac:dyDescent="0.25">
      <c r="A3" t="s">
        <v>170</v>
      </c>
      <c r="B3">
        <v>462.85000610351563</v>
      </c>
      <c r="C3" s="32">
        <v>45107</v>
      </c>
    </row>
    <row r="4" spans="1:3" x14ac:dyDescent="0.25">
      <c r="A4" t="s">
        <v>171</v>
      </c>
      <c r="B4">
        <v>26.260000228881839</v>
      </c>
      <c r="C4" s="32">
        <v>45107</v>
      </c>
    </row>
    <row r="5" spans="1:3" x14ac:dyDescent="0.25">
      <c r="A5" t="s">
        <v>173</v>
      </c>
      <c r="B5">
        <v>175.83999633789063</v>
      </c>
      <c r="C5" s="32">
        <v>45107</v>
      </c>
    </row>
    <row r="6" spans="1:3" x14ac:dyDescent="0.25">
      <c r="A6" t="s">
        <v>174</v>
      </c>
      <c r="B6">
        <v>233</v>
      </c>
      <c r="C6" s="32">
        <v>45107</v>
      </c>
    </row>
    <row r="7" spans="1:3" x14ac:dyDescent="0.25">
      <c r="A7" t="s">
        <v>175</v>
      </c>
      <c r="B7">
        <v>86.47</v>
      </c>
      <c r="C7" s="32">
        <v>45107</v>
      </c>
    </row>
    <row r="8" spans="1:3" x14ac:dyDescent="0.25">
      <c r="A8" t="s">
        <v>176</v>
      </c>
      <c r="B8">
        <v>11.260000228881836</v>
      </c>
      <c r="C8" s="32">
        <v>45107</v>
      </c>
    </row>
    <row r="9" spans="1:3" x14ac:dyDescent="0.25">
      <c r="A9" t="s">
        <v>177</v>
      </c>
      <c r="B9">
        <v>11.600000381469728</v>
      </c>
      <c r="C9" s="32">
        <v>45107</v>
      </c>
    </row>
    <row r="10" spans="1:3" x14ac:dyDescent="0.25">
      <c r="A10" t="s">
        <v>178</v>
      </c>
      <c r="B10">
        <v>5.4587998390197754</v>
      </c>
      <c r="C10" s="32">
        <v>45107</v>
      </c>
    </row>
    <row r="11" spans="1:3" x14ac:dyDescent="0.25">
      <c r="A11" t="s">
        <v>179</v>
      </c>
      <c r="B11">
        <v>5.5049999999999999</v>
      </c>
      <c r="C11" s="32">
        <v>45107</v>
      </c>
    </row>
    <row r="12" spans="1:3" x14ac:dyDescent="0.25">
      <c r="A12" t="s">
        <v>180</v>
      </c>
      <c r="B12">
        <v>110.375</v>
      </c>
      <c r="C12" s="32">
        <v>45107</v>
      </c>
    </row>
    <row r="13" spans="1:3" x14ac:dyDescent="0.25">
      <c r="A13" t="s">
        <v>181</v>
      </c>
      <c r="B13">
        <v>23.28</v>
      </c>
      <c r="C13" s="32">
        <v>45107</v>
      </c>
    </row>
    <row r="14" spans="1:3" x14ac:dyDescent="0.25">
      <c r="A14" t="s">
        <v>182</v>
      </c>
      <c r="B14">
        <v>35.44</v>
      </c>
      <c r="C14" s="32">
        <v>45107</v>
      </c>
    </row>
    <row r="15" spans="1:3" x14ac:dyDescent="0.25">
      <c r="A15" t="s">
        <v>183</v>
      </c>
      <c r="B15">
        <v>82.370002746582031</v>
      </c>
      <c r="C15" s="32">
        <v>45107</v>
      </c>
    </row>
    <row r="16" spans="1:3" x14ac:dyDescent="0.25">
      <c r="A16" t="s">
        <v>184</v>
      </c>
      <c r="B16">
        <v>1.6937734459670661</v>
      </c>
      <c r="C16" s="32">
        <v>44925</v>
      </c>
    </row>
    <row r="17" spans="1:3" x14ac:dyDescent="0.25">
      <c r="A17" t="s">
        <v>185</v>
      </c>
      <c r="B17">
        <v>1.6105777877052256</v>
      </c>
      <c r="C17" s="32">
        <v>45107</v>
      </c>
    </row>
    <row r="18" spans="1:3" x14ac:dyDescent="0.25">
      <c r="A18" t="s">
        <v>186</v>
      </c>
      <c r="B18">
        <v>1.2122663078790714</v>
      </c>
      <c r="C18" s="32">
        <v>45107</v>
      </c>
    </row>
    <row r="19" spans="1:3" x14ac:dyDescent="0.25">
      <c r="A19" t="s">
        <v>187</v>
      </c>
      <c r="B19">
        <v>1.1544248845624097</v>
      </c>
      <c r="C19" s="32">
        <v>45077</v>
      </c>
    </row>
    <row r="20" spans="1:3" x14ac:dyDescent="0.25">
      <c r="A20" t="s">
        <v>188</v>
      </c>
      <c r="B20">
        <v>1</v>
      </c>
      <c r="C20" s="32">
        <v>45107</v>
      </c>
    </row>
    <row r="21" spans="1:3" x14ac:dyDescent="0.25">
      <c r="A21" t="s">
        <v>243</v>
      </c>
      <c r="B21">
        <v>1</v>
      </c>
      <c r="C21" s="32">
        <v>45107</v>
      </c>
    </row>
    <row r="22" spans="1:3" x14ac:dyDescent="0.25">
      <c r="A22" t="s">
        <v>192</v>
      </c>
      <c r="B22">
        <v>1</v>
      </c>
      <c r="C22" s="32">
        <v>45107</v>
      </c>
    </row>
    <row r="23" spans="1:3" x14ac:dyDescent="0.25">
      <c r="A23" t="s">
        <v>191</v>
      </c>
      <c r="B23">
        <v>98</v>
      </c>
      <c r="C23" s="32">
        <v>45107</v>
      </c>
    </row>
    <row r="24" spans="1:3" x14ac:dyDescent="0.25">
      <c r="A24" t="s">
        <v>190</v>
      </c>
      <c r="B24">
        <v>98</v>
      </c>
      <c r="C24" s="32">
        <v>45107</v>
      </c>
    </row>
    <row r="25" spans="1:3" x14ac:dyDescent="0.25">
      <c r="A25" t="s">
        <v>189</v>
      </c>
      <c r="B25">
        <v>98</v>
      </c>
      <c r="C25" s="32">
        <v>45107</v>
      </c>
    </row>
    <row r="26" spans="1:3" x14ac:dyDescent="0.25">
      <c r="C26" s="32"/>
    </row>
    <row r="27" spans="1:3" x14ac:dyDescent="0.25">
      <c r="C27" s="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workbookViewId="0"/>
  </sheetViews>
  <sheetFormatPr defaultRowHeight="15" x14ac:dyDescent="0.25"/>
  <sheetData>
    <row r="1" spans="1:32" x14ac:dyDescent="0.25">
      <c r="A1" t="s">
        <v>144</v>
      </c>
      <c r="B1" t="s">
        <v>202</v>
      </c>
      <c r="C1" t="s">
        <v>127</v>
      </c>
      <c r="D1" t="s">
        <v>126</v>
      </c>
      <c r="E1" t="s">
        <v>211</v>
      </c>
      <c r="F1" t="s">
        <v>212</v>
      </c>
      <c r="G1" t="s">
        <v>110</v>
      </c>
      <c r="H1" t="s">
        <v>213</v>
      </c>
      <c r="I1" t="s">
        <v>214</v>
      </c>
      <c r="J1" t="s">
        <v>215</v>
      </c>
      <c r="K1" t="s">
        <v>114</v>
      </c>
      <c r="L1" t="s">
        <v>116</v>
      </c>
      <c r="M1" t="s">
        <v>107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163</v>
      </c>
      <c r="AA1" t="s">
        <v>164</v>
      </c>
      <c r="AB1" t="s">
        <v>165</v>
      </c>
      <c r="AC1" t="s">
        <v>159</v>
      </c>
      <c r="AD1" t="s">
        <v>160</v>
      </c>
      <c r="AE1" t="s">
        <v>161</v>
      </c>
      <c r="AF1" t="s">
        <v>162</v>
      </c>
    </row>
    <row r="2" spans="1:32" x14ac:dyDescent="0.25">
      <c r="A2" t="s">
        <v>189</v>
      </c>
      <c r="B2" t="s">
        <v>137</v>
      </c>
      <c r="D2" t="s">
        <v>138</v>
      </c>
      <c r="G2" s="32">
        <v>61086</v>
      </c>
      <c r="H2" t="s">
        <v>22</v>
      </c>
      <c r="I2" t="s">
        <v>228</v>
      </c>
      <c r="J2" t="s">
        <v>229</v>
      </c>
      <c r="K2" t="s">
        <v>230</v>
      </c>
      <c r="L2" t="s">
        <v>21</v>
      </c>
      <c r="M2">
        <v>8.2360000000000003E-2</v>
      </c>
      <c r="N2" t="s">
        <v>231</v>
      </c>
      <c r="O2">
        <v>4</v>
      </c>
      <c r="P2" t="s">
        <v>232</v>
      </c>
      <c r="Q2" s="32">
        <v>45484</v>
      </c>
      <c r="R2" t="s">
        <v>233</v>
      </c>
      <c r="T2" t="s">
        <v>234</v>
      </c>
      <c r="U2" s="32">
        <v>39161</v>
      </c>
      <c r="V2" s="32">
        <v>39355</v>
      </c>
      <c r="W2" s="32">
        <v>45468</v>
      </c>
      <c r="X2" s="32">
        <v>45468</v>
      </c>
      <c r="Y2">
        <v>0.98</v>
      </c>
      <c r="Z2">
        <v>43.748117727583846</v>
      </c>
      <c r="AA2">
        <v>0.5</v>
      </c>
      <c r="AB2">
        <v>8.6790269839223486E-2</v>
      </c>
      <c r="AC2">
        <v>0.45848894487905412</v>
      </c>
      <c r="AD2">
        <v>0.63500403271632422</v>
      </c>
      <c r="AE2">
        <v>10.349028995681774</v>
      </c>
      <c r="AF2">
        <v>228.16331434979631</v>
      </c>
    </row>
    <row r="3" spans="1:32" x14ac:dyDescent="0.25">
      <c r="A3" t="s">
        <v>190</v>
      </c>
      <c r="B3" t="s">
        <v>139</v>
      </c>
      <c r="D3" t="s">
        <v>140</v>
      </c>
      <c r="G3" s="32">
        <v>61132</v>
      </c>
      <c r="H3" t="s">
        <v>22</v>
      </c>
      <c r="I3" t="s">
        <v>235</v>
      </c>
      <c r="J3" t="s">
        <v>236</v>
      </c>
      <c r="K3" t="s">
        <v>99</v>
      </c>
      <c r="L3" t="s">
        <v>237</v>
      </c>
      <c r="M3">
        <v>7.7939999999999995E-2</v>
      </c>
      <c r="N3" t="s">
        <v>231</v>
      </c>
      <c r="O3">
        <v>4</v>
      </c>
      <c r="P3" t="s">
        <v>232</v>
      </c>
      <c r="Q3" s="32">
        <v>45484</v>
      </c>
      <c r="T3" t="s">
        <v>234</v>
      </c>
      <c r="U3" s="32">
        <v>39161</v>
      </c>
      <c r="V3" s="32">
        <v>39401</v>
      </c>
      <c r="W3" s="32">
        <v>45468</v>
      </c>
      <c r="X3" s="32">
        <v>45468</v>
      </c>
      <c r="Y3">
        <v>0.98</v>
      </c>
      <c r="Z3">
        <v>43.874058863791923</v>
      </c>
      <c r="AA3">
        <v>0.5</v>
      </c>
      <c r="AB3">
        <v>8.2865871379089864E-2</v>
      </c>
      <c r="AC3">
        <v>0.46014481805223273</v>
      </c>
      <c r="AD3">
        <v>0.63961506230114651</v>
      </c>
      <c r="AE3">
        <v>10.692524160334305</v>
      </c>
      <c r="AF3">
        <v>244.58350357319247</v>
      </c>
    </row>
    <row r="4" spans="1:32" x14ac:dyDescent="0.25">
      <c r="A4" t="s">
        <v>191</v>
      </c>
      <c r="B4" t="s">
        <v>141</v>
      </c>
      <c r="D4" t="s">
        <v>142</v>
      </c>
      <c r="G4" s="32">
        <v>61132</v>
      </c>
      <c r="H4" t="s">
        <v>22</v>
      </c>
      <c r="I4" t="s">
        <v>238</v>
      </c>
      <c r="J4" t="s">
        <v>229</v>
      </c>
      <c r="K4" t="s">
        <v>230</v>
      </c>
      <c r="L4" t="s">
        <v>21</v>
      </c>
      <c r="M4">
        <v>7.6960000000000001E-2</v>
      </c>
      <c r="N4" t="s">
        <v>231</v>
      </c>
      <c r="O4">
        <v>4</v>
      </c>
      <c r="P4" t="s">
        <v>232</v>
      </c>
      <c r="Q4" s="32">
        <v>45484</v>
      </c>
      <c r="R4" t="s">
        <v>239</v>
      </c>
      <c r="T4" t="s">
        <v>234</v>
      </c>
      <c r="U4" s="32">
        <v>39213</v>
      </c>
      <c r="V4" s="32">
        <v>39401</v>
      </c>
      <c r="W4" s="32">
        <v>45468</v>
      </c>
      <c r="X4" s="32">
        <v>45468</v>
      </c>
      <c r="Y4">
        <v>0.98</v>
      </c>
      <c r="Z4">
        <v>43.874058863791923</v>
      </c>
      <c r="AA4">
        <v>0.5</v>
      </c>
      <c r="AB4">
        <v>8.1785807500080243E-2</v>
      </c>
      <c r="AC4">
        <v>0.46060264460510147</v>
      </c>
      <c r="AD4">
        <v>0.64089291367253054</v>
      </c>
      <c r="AE4">
        <v>10.819282321846545</v>
      </c>
      <c r="AF4">
        <v>249.89944036473588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17" sqref="H17"/>
    </sheetView>
  </sheetViews>
  <sheetFormatPr defaultRowHeight="15" x14ac:dyDescent="0.25"/>
  <cols>
    <col min="3" max="3" width="12.42578125" customWidth="1"/>
    <col min="4" max="4" width="12" bestFit="1" customWidth="1"/>
    <col min="6" max="8" width="10.5703125" bestFit="1" customWidth="1"/>
    <col min="9" max="9" width="11.5703125" bestFit="1" customWidth="1"/>
    <col min="10" max="11" width="10.5703125" bestFit="1" customWidth="1"/>
  </cols>
  <sheetData>
    <row r="1" spans="1:11" x14ac:dyDescent="0.25">
      <c r="A1" t="s">
        <v>146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</row>
    <row r="2" spans="1:11" x14ac:dyDescent="0.25">
      <c r="A2">
        <v>0</v>
      </c>
      <c r="C2">
        <v>26523.413664541506</v>
      </c>
      <c r="F2" s="36">
        <v>16929.176111732486</v>
      </c>
      <c r="G2" s="36">
        <v>10782.702056508964</v>
      </c>
      <c r="H2" s="36">
        <v>26523.413664541506</v>
      </c>
      <c r="I2" s="36">
        <v>40887.232585112732</v>
      </c>
      <c r="J2" s="36">
        <v>19521.59326624556</v>
      </c>
      <c r="K2" s="36">
        <v>26189.699402476479</v>
      </c>
    </row>
    <row r="3" spans="1:11" x14ac:dyDescent="0.25">
      <c r="A3">
        <v>1</v>
      </c>
      <c r="C3">
        <v>20311.910661094127</v>
      </c>
      <c r="F3" s="36">
        <v>12311.721904835245</v>
      </c>
      <c r="G3" s="36">
        <v>1378.4446508653887</v>
      </c>
      <c r="H3" s="36">
        <v>20311.910661094127</v>
      </c>
      <c r="I3" s="36">
        <v>28231.204580819704</v>
      </c>
      <c r="J3" s="36">
        <v>7895.5574650222579</v>
      </c>
      <c r="K3" s="36">
        <v>1989.6158620932251</v>
      </c>
    </row>
    <row r="4" spans="1:11" x14ac:dyDescent="0.25">
      <c r="A4">
        <v>2</v>
      </c>
      <c r="C4">
        <v>18691.526795998143</v>
      </c>
      <c r="F4" s="36">
        <v>12599.535099647574</v>
      </c>
      <c r="G4" s="36">
        <v>7663.4326330493832</v>
      </c>
      <c r="H4" s="36">
        <v>18691.526795998143</v>
      </c>
      <c r="I4" s="36">
        <v>28212.357965615669</v>
      </c>
      <c r="J4" s="36">
        <v>17687.194243077589</v>
      </c>
      <c r="K4" s="36">
        <v>17056.406830771459</v>
      </c>
    </row>
    <row r="5" spans="1:11" x14ac:dyDescent="0.25">
      <c r="A5">
        <v>3</v>
      </c>
      <c r="C5">
        <v>16511.418952110565</v>
      </c>
      <c r="F5" s="36">
        <v>10376.257843914624</v>
      </c>
      <c r="G5" s="36">
        <v>6083.9632832511143</v>
      </c>
      <c r="H5" s="36">
        <v>16511.418952110565</v>
      </c>
      <c r="I5" s="36">
        <v>26210.836712321576</v>
      </c>
      <c r="J5" s="36">
        <v>12094.454589741732</v>
      </c>
      <c r="K5" s="36">
        <v>13596.217416379401</v>
      </c>
    </row>
    <row r="6" spans="1:11" x14ac:dyDescent="0.25">
      <c r="A6">
        <v>4</v>
      </c>
      <c r="C6">
        <v>15817.462758282174</v>
      </c>
      <c r="F6" s="36">
        <v>10231.060902260253</v>
      </c>
      <c r="G6" s="36">
        <v>5091.0207871814637</v>
      </c>
      <c r="H6" s="36">
        <v>15817.462758282174</v>
      </c>
      <c r="I6" s="36">
        <v>24300.149821959487</v>
      </c>
      <c r="J6" s="36">
        <v>14466.26544401309</v>
      </c>
      <c r="K6" s="36">
        <v>12275.407030351365</v>
      </c>
    </row>
    <row r="7" spans="1:11" x14ac:dyDescent="0.25">
      <c r="A7">
        <v>5</v>
      </c>
      <c r="C7">
        <v>16601.590174721117</v>
      </c>
      <c r="F7" s="36">
        <v>11667.887601397033</v>
      </c>
      <c r="G7" s="36">
        <v>7461.9853388385254</v>
      </c>
      <c r="H7" s="36">
        <v>16601.590174721117</v>
      </c>
      <c r="I7" s="36">
        <v>27668.060418603898</v>
      </c>
      <c r="J7" s="36">
        <v>15693.627039400169</v>
      </c>
      <c r="K7" s="36">
        <v>17964.224065106584</v>
      </c>
    </row>
    <row r="8" spans="1:11" x14ac:dyDescent="0.25">
      <c r="A8">
        <v>6</v>
      </c>
      <c r="C8">
        <v>14800.950904774052</v>
      </c>
      <c r="F8" s="36">
        <v>9555.8885786966803</v>
      </c>
      <c r="G8" s="36">
        <v>3958.9625731094325</v>
      </c>
      <c r="H8" s="36">
        <v>14800.950904774052</v>
      </c>
      <c r="I8" s="36">
        <v>23721.999102934002</v>
      </c>
      <c r="J8" s="36">
        <v>6743.4598551479185</v>
      </c>
      <c r="K8" s="36">
        <v>10501.0868543098</v>
      </c>
    </row>
    <row r="9" spans="1:11" x14ac:dyDescent="0.25">
      <c r="A9">
        <v>7</v>
      </c>
      <c r="C9">
        <v>16655.20625996136</v>
      </c>
      <c r="F9" s="36">
        <v>11237.327952759293</v>
      </c>
      <c r="G9" s="36">
        <v>5459.3566297891139</v>
      </c>
      <c r="H9" s="36">
        <v>16655.20625996136</v>
      </c>
      <c r="I9" s="36">
        <v>27682.467416303276</v>
      </c>
      <c r="J9" s="36">
        <v>9961.3484516898552</v>
      </c>
      <c r="K9" s="36">
        <v>14889.116318584734</v>
      </c>
    </row>
    <row r="10" spans="1:11" x14ac:dyDescent="0.25">
      <c r="A10">
        <v>8</v>
      </c>
      <c r="C10">
        <v>22597.81089365701</v>
      </c>
      <c r="F10" s="36">
        <v>26631.333352268524</v>
      </c>
      <c r="G10" s="36">
        <v>12744.796297703604</v>
      </c>
      <c r="H10" s="36">
        <v>22597.81089365701</v>
      </c>
      <c r="I10" s="36">
        <v>50705.548181446822</v>
      </c>
      <c r="J10" s="36">
        <v>10301.683726487667</v>
      </c>
      <c r="K10" s="36">
        <v>30801.992612128681</v>
      </c>
    </row>
    <row r="11" spans="1:11" x14ac:dyDescent="0.25">
      <c r="A11">
        <v>9</v>
      </c>
      <c r="C11">
        <v>85764.670274323682</v>
      </c>
      <c r="F11" s="36">
        <v>66024.661587893963</v>
      </c>
      <c r="G11" s="36">
        <v>38722.519889570809</v>
      </c>
      <c r="H11" s="36">
        <v>85764.670274323682</v>
      </c>
      <c r="I11" s="36">
        <v>149644.4658186915</v>
      </c>
      <c r="J11" s="36">
        <v>-928.98460451512085</v>
      </c>
      <c r="K11" s="36">
        <v>80044.911349395523</v>
      </c>
    </row>
    <row r="12" spans="1:11" x14ac:dyDescent="0.25">
      <c r="A12">
        <v>10</v>
      </c>
      <c r="C12">
        <v>7633.4998094472858</v>
      </c>
      <c r="F12" s="36">
        <v>4338.9771658084364</v>
      </c>
      <c r="G12" s="36">
        <v>570.33225840174055</v>
      </c>
      <c r="H12" s="36">
        <v>7633.4998094472858</v>
      </c>
      <c r="I12" s="36">
        <v>11024.756265172784</v>
      </c>
      <c r="J12" s="36">
        <v>4960.4226629795485</v>
      </c>
      <c r="K12" s="36">
        <v>2173.5347071866572</v>
      </c>
    </row>
    <row r="13" spans="1:11" x14ac:dyDescent="0.25">
      <c r="A13">
        <v>11</v>
      </c>
      <c r="C13">
        <v>4870.2261602717508</v>
      </c>
      <c r="F13" s="36">
        <v>3518.6988256002833</v>
      </c>
      <c r="G13" s="36">
        <v>2036.86952904593</v>
      </c>
      <c r="H13" s="36">
        <v>4870.2261602717508</v>
      </c>
      <c r="I13" s="36">
        <v>8400.1885088812269</v>
      </c>
      <c r="J13" s="36">
        <v>3834.9541257688029</v>
      </c>
      <c r="K13" s="36">
        <v>5325.1078746805624</v>
      </c>
    </row>
    <row r="14" spans="1:11" x14ac:dyDescent="0.25">
      <c r="A14">
        <v>12</v>
      </c>
      <c r="C14">
        <v>4640.3870123829365</v>
      </c>
      <c r="F14" s="36">
        <v>4279.6905233931202</v>
      </c>
      <c r="G14" s="36">
        <v>912.41185093288391</v>
      </c>
      <c r="H14" s="36">
        <v>4640.3870123829365</v>
      </c>
      <c r="I14" s="36">
        <v>10297.276277790834</v>
      </c>
      <c r="J14" s="36">
        <v>2255.9755942103229</v>
      </c>
      <c r="K14" s="36">
        <v>2852.9204029003986</v>
      </c>
    </row>
    <row r="15" spans="1:11" x14ac:dyDescent="0.25">
      <c r="A15">
        <v>13</v>
      </c>
      <c r="C15">
        <v>8205.7548635314324</v>
      </c>
      <c r="F15" s="36">
        <v>6366.7736490920097</v>
      </c>
      <c r="G15" s="36">
        <v>3165.8400054574208</v>
      </c>
      <c r="H15" s="36">
        <v>8205.7548635314324</v>
      </c>
      <c r="I15" s="36">
        <v>16556.948119390509</v>
      </c>
      <c r="J15" s="36">
        <v>4714.7797557824761</v>
      </c>
      <c r="K15" s="36">
        <v>8213.2841000702556</v>
      </c>
    </row>
    <row r="16" spans="1:11" x14ac:dyDescent="0.25">
      <c r="A16">
        <v>14</v>
      </c>
      <c r="C16">
        <v>8563.1218732480938</v>
      </c>
      <c r="F16" s="36">
        <v>5565.7499770256054</v>
      </c>
      <c r="G16" s="36">
        <v>2095.2314450610529</v>
      </c>
      <c r="H16" s="36">
        <v>8563.1218732480938</v>
      </c>
      <c r="I16" s="36">
        <v>11845.315699209066</v>
      </c>
      <c r="J16" s="36">
        <v>3647.3515103114182</v>
      </c>
      <c r="K16" s="36">
        <v>4500.7907964763817</v>
      </c>
    </row>
    <row r="17" spans="1:11" x14ac:dyDescent="0.25">
      <c r="A17">
        <v>15</v>
      </c>
      <c r="C17">
        <v>3698.7171592737354</v>
      </c>
      <c r="F17" s="36">
        <v>2379.663175508389</v>
      </c>
      <c r="G17" s="36">
        <v>671.00510892497277</v>
      </c>
      <c r="H17" s="36">
        <v>3698.7171592737354</v>
      </c>
      <c r="I17" s="36">
        <v>5170.4838233806095</v>
      </c>
      <c r="J17" s="36">
        <v>1549.4177320459519</v>
      </c>
      <c r="K17" s="36">
        <v>2232.6083886668125</v>
      </c>
    </row>
    <row r="18" spans="1:11" x14ac:dyDescent="0.25">
      <c r="A18">
        <v>16</v>
      </c>
      <c r="C18">
        <v>3960.3022131048951</v>
      </c>
      <c r="F18" s="36">
        <v>3074.7475577137106</v>
      </c>
      <c r="G18" s="36">
        <v>1527.943140877783</v>
      </c>
      <c r="H18" s="36">
        <v>3960.3022131048951</v>
      </c>
      <c r="I18" s="36">
        <v>7399.3003223037522</v>
      </c>
      <c r="J18" s="36">
        <v>2498.937797514699</v>
      </c>
      <c r="K18" s="36">
        <v>3750.9654898323233</v>
      </c>
    </row>
    <row r="19" spans="1:11" x14ac:dyDescent="0.25">
      <c r="A19">
        <v>17</v>
      </c>
      <c r="C19">
        <v>4951.6364548704432</v>
      </c>
      <c r="F19" s="36">
        <v>3490.527643718669</v>
      </c>
      <c r="G19" s="36">
        <v>1504.8939782804639</v>
      </c>
      <c r="H19" s="36">
        <v>4951.6364548704432</v>
      </c>
      <c r="I19" s="36">
        <v>7998.919836727262</v>
      </c>
      <c r="J19" s="36">
        <v>2685.6438973441332</v>
      </c>
      <c r="K19" s="36">
        <v>3567.0849212240232</v>
      </c>
    </row>
    <row r="20" spans="1:11" x14ac:dyDescent="0.25">
      <c r="A20">
        <v>18</v>
      </c>
      <c r="C20">
        <v>5224.3441884542663</v>
      </c>
      <c r="F20" s="36">
        <v>3624.0760721851366</v>
      </c>
      <c r="G20" s="36">
        <v>1433.3271663102407</v>
      </c>
      <c r="H20" s="36">
        <v>5224.3441884542663</v>
      </c>
      <c r="I20" s="36">
        <v>8219.1462639690471</v>
      </c>
      <c r="J20" s="36">
        <v>4862.3118425958073</v>
      </c>
      <c r="K20" s="36">
        <v>3983.088674935148</v>
      </c>
    </row>
    <row r="21" spans="1:11" x14ac:dyDescent="0.25">
      <c r="A21">
        <v>19</v>
      </c>
      <c r="B21">
        <v>147.07422066460893</v>
      </c>
      <c r="D21">
        <v>1667.6676403054967</v>
      </c>
      <c r="F21" s="36">
        <v>1209.0513057343717</v>
      </c>
      <c r="G21" s="36">
        <v>-25.491085478197824</v>
      </c>
      <c r="H21" s="36">
        <v>1676.0765462989332</v>
      </c>
      <c r="I21" s="36">
        <v>2683.3652969730847</v>
      </c>
      <c r="J21" s="36">
        <v>640.11357428556266</v>
      </c>
      <c r="K21" s="36">
        <v>-75.26917125404934</v>
      </c>
    </row>
    <row r="22" spans="1:11" x14ac:dyDescent="0.25">
      <c r="A22">
        <v>20</v>
      </c>
      <c r="B22">
        <v>147.60539215562255</v>
      </c>
      <c r="D22">
        <v>1964.2859590447761</v>
      </c>
      <c r="F22" s="36">
        <v>1196.0345008184017</v>
      </c>
      <c r="G22" s="36">
        <v>15.334738055506394</v>
      </c>
      <c r="H22" s="36">
        <v>1980.3015861124027</v>
      </c>
      <c r="I22" s="36">
        <v>2776.9114511154353</v>
      </c>
      <c r="J22" s="36">
        <v>430.96917231857094</v>
      </c>
      <c r="K22" s="36">
        <v>14.03724255783928</v>
      </c>
    </row>
    <row r="23" spans="1:11" x14ac:dyDescent="0.25">
      <c r="A23">
        <v>21</v>
      </c>
      <c r="B23">
        <v>147.75225389398025</v>
      </c>
      <c r="D23">
        <v>1969.8839725362297</v>
      </c>
      <c r="F23" s="36">
        <v>1302.43201911796</v>
      </c>
      <c r="G23" s="36">
        <v>-37.74025945456652</v>
      </c>
      <c r="H23" s="36">
        <v>1982.6808891104522</v>
      </c>
      <c r="I23" s="36">
        <v>2682.666376351342</v>
      </c>
      <c r="J23" s="36">
        <v>826.96561170923133</v>
      </c>
      <c r="K23" s="36">
        <v>-117.38169220950698</v>
      </c>
    </row>
    <row r="24" spans="1:11" x14ac:dyDescent="0.25">
      <c r="A24">
        <v>22</v>
      </c>
      <c r="C24">
        <v>0</v>
      </c>
      <c r="E24">
        <v>359.51577633685321</v>
      </c>
      <c r="F24" s="36">
        <v>217.69444595634582</v>
      </c>
      <c r="G24" s="36">
        <v>-1.6381717488740457</v>
      </c>
      <c r="H24" s="36">
        <v>359.51577633685321</v>
      </c>
      <c r="I24" s="36">
        <v>483.91599108062826</v>
      </c>
      <c r="J24" s="36">
        <v>-21.664702362649944</v>
      </c>
      <c r="K24" s="36">
        <v>-31.70677268517467</v>
      </c>
    </row>
    <row r="25" spans="1:11" x14ac:dyDescent="0.25">
      <c r="A25">
        <v>23</v>
      </c>
      <c r="C25">
        <v>0</v>
      </c>
      <c r="F25" s="36">
        <v>0</v>
      </c>
      <c r="G25" s="36">
        <v>0</v>
      </c>
      <c r="H25" s="36">
        <v>0</v>
      </c>
      <c r="I25" s="36"/>
      <c r="J25" s="36">
        <v>0</v>
      </c>
      <c r="K25" s="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H7" sqref="H7"/>
    </sheetView>
  </sheetViews>
  <sheetFormatPr defaultRowHeight="15" x14ac:dyDescent="0.25"/>
  <cols>
    <col min="2" max="2" width="8.42578125" bestFit="1" customWidth="1"/>
    <col min="3" max="3" width="12" bestFit="1" customWidth="1"/>
    <col min="4" max="4" width="13.140625" bestFit="1" customWidth="1"/>
    <col min="5" max="6" width="12" bestFit="1" customWidth="1"/>
    <col min="7" max="7" width="13.28515625" bestFit="1" customWidth="1"/>
    <col min="8" max="8" width="14" bestFit="1" customWidth="1"/>
  </cols>
  <sheetData>
    <row r="1" spans="1:8" x14ac:dyDescent="0.25">
      <c r="A1" t="s">
        <v>204</v>
      </c>
      <c r="B1" t="s">
        <v>254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</row>
    <row r="2" spans="1:8" x14ac:dyDescent="0.25">
      <c r="A2">
        <v>0</v>
      </c>
      <c r="B2" t="s">
        <v>200</v>
      </c>
      <c r="C2" s="29">
        <v>234.82382090659067</v>
      </c>
      <c r="D2" s="29">
        <v>-1.8496055146535786</v>
      </c>
      <c r="E2" s="29">
        <v>442.43186671421171</v>
      </c>
      <c r="F2" s="29">
        <v>692.67029861671165</v>
      </c>
      <c r="G2" s="29">
        <v>10.54304274337553</v>
      </c>
      <c r="H2" s="29">
        <v>40.546316626100193</v>
      </c>
    </row>
    <row r="3" spans="1:8" x14ac:dyDescent="0.25">
      <c r="A3">
        <v>1</v>
      </c>
      <c r="B3" t="s">
        <v>156</v>
      </c>
      <c r="C3" s="29">
        <v>113303.49520803877</v>
      </c>
      <c r="D3" s="29">
        <v>113265.03800216377</v>
      </c>
      <c r="E3" s="29">
        <v>143944.41114564682</v>
      </c>
      <c r="F3" s="29">
        <v>261977.14578666614</v>
      </c>
      <c r="G3" s="29">
        <v>144445.99439486387</v>
      </c>
      <c r="H3" s="29">
        <v>261908.06309756974</v>
      </c>
    </row>
    <row r="4" spans="1:8" x14ac:dyDescent="0.25">
      <c r="A4">
        <v>2</v>
      </c>
      <c r="B4" t="s">
        <v>199</v>
      </c>
      <c r="C4" s="29">
        <v>2965.9058784162676</v>
      </c>
      <c r="D4" s="29">
        <v>-46.046997751999569</v>
      </c>
      <c r="E4" s="29">
        <v>4619.0749044844342</v>
      </c>
      <c r="F4" s="29">
        <v>6547.2057587834979</v>
      </c>
      <c r="G4" s="29">
        <v>1887.5053155699902</v>
      </c>
      <c r="H4" s="29">
        <v>-219.15993753181732</v>
      </c>
    </row>
    <row r="5" spans="1:8" x14ac:dyDescent="0.25">
      <c r="A5">
        <v>3</v>
      </c>
      <c r="B5" t="s">
        <v>197</v>
      </c>
      <c r="C5" s="29">
        <v>217.69444595634582</v>
      </c>
      <c r="D5" s="29">
        <v>-1.6381717488740477</v>
      </c>
      <c r="E5" s="29">
        <v>359.51577633685321</v>
      </c>
      <c r="F5" s="29">
        <v>483.91599108062826</v>
      </c>
      <c r="G5" s="29">
        <v>-21.664702362649944</v>
      </c>
      <c r="H5" s="29">
        <v>-31.70677268517467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Parameters</vt:lpstr>
      <vt:lpstr>Positions</vt:lpstr>
      <vt:lpstr>Log</vt:lpstr>
      <vt:lpstr>CalcPositions</vt:lpstr>
      <vt:lpstr>RiskFactor</vt:lpstr>
      <vt:lpstr>Static</vt:lpstr>
      <vt:lpstr>Security_info</vt:lpstr>
      <vt:lpstr>LastPrices</vt:lpstr>
      <vt:lpstr>Bonds</vt:lpstr>
      <vt:lpstr>VaR</vt:lpstr>
      <vt:lpstr>RF_VaR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Ding</dc:creator>
  <cp:lastModifiedBy>Michael Ding</cp:lastModifiedBy>
  <dcterms:created xsi:type="dcterms:W3CDTF">2024-03-23T21:18:25Z</dcterms:created>
  <dcterms:modified xsi:type="dcterms:W3CDTF">2024-08-22T18:53:17Z</dcterms:modified>
</cp:coreProperties>
</file>