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din\uat\Portfolios\Demo\"/>
    </mc:Choice>
  </mc:AlternateContent>
  <bookViews>
    <workbookView xWindow="0" yWindow="0" windowWidth="26295" windowHeight="10770" activeTab="1"/>
  </bookViews>
  <sheets>
    <sheet name="Parameters" sheetId="1" r:id="rId1"/>
    <sheet name="Posi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F21" i="2" s="1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<sst xmlns="http://schemas.openxmlformats.org/spreadsheetml/2006/main" count="309" uniqueCount="137">
  <si>
    <t>SecurityName</t>
  </si>
  <si>
    <t>ISIN</t>
  </si>
  <si>
    <t>CUSIP</t>
  </si>
  <si>
    <t>Ticker</t>
  </si>
  <si>
    <t>Quantity</t>
  </si>
  <si>
    <t>MarketValue</t>
  </si>
  <si>
    <t>Weight</t>
  </si>
  <si>
    <t>ExpectedReturn</t>
  </si>
  <si>
    <t>AssetClass</t>
  </si>
  <si>
    <t>AssetType</t>
  </si>
  <si>
    <t>LastPrice</t>
  </si>
  <si>
    <t>LastPriceDate</t>
  </si>
  <si>
    <t>Currency</t>
  </si>
  <si>
    <t>Country</t>
  </si>
  <si>
    <t>Region</t>
  </si>
  <si>
    <t>Sector</t>
  </si>
  <si>
    <t>Industry</t>
  </si>
  <si>
    <t>OptionType</t>
  </si>
  <si>
    <t>FrequencyMonths</t>
  </si>
  <si>
    <t>MaturityDate</t>
  </si>
  <si>
    <t>OptionStrike</t>
  </si>
  <si>
    <t>UnderlyingSecurityID</t>
  </si>
  <si>
    <t>CouponRate</t>
  </si>
  <si>
    <t>Class</t>
  </si>
  <si>
    <t>SC1</t>
  </si>
  <si>
    <t>SC2</t>
  </si>
  <si>
    <t>Vaneck Wide Moat ETF</t>
  </si>
  <si>
    <t>US92189F6438</t>
  </si>
  <si>
    <t>CSTNL</t>
  </si>
  <si>
    <t>Equity</t>
  </si>
  <si>
    <t>Equity ETF</t>
  </si>
  <si>
    <t>USD</t>
  </si>
  <si>
    <t>United States</t>
  </si>
  <si>
    <t>North America</t>
  </si>
  <si>
    <t>Energy</t>
  </si>
  <si>
    <t>Energy Equipment &amp; Services</t>
  </si>
  <si>
    <t>US Equity</t>
  </si>
  <si>
    <t>iShares Core S&amp;P 500 UCITS ETF USD</t>
  </si>
  <si>
    <t>IE00B5BMR087</t>
  </si>
  <si>
    <t>LOMIZ</t>
  </si>
  <si>
    <t>Oil, Gas &amp; Consumable Fuels</t>
  </si>
  <si>
    <t xml:space="preserve">Virtus US Small Cap Focus </t>
  </si>
  <si>
    <t>IE00BQSBKL72</t>
  </si>
  <si>
    <t>JPMMZ</t>
  </si>
  <si>
    <t>Equity Fund</t>
  </si>
  <si>
    <t>Materials</t>
  </si>
  <si>
    <t>Chemicals</t>
  </si>
  <si>
    <t>SPDR ACWI IMI</t>
  </si>
  <si>
    <t>IE00B3YLTY66</t>
  </si>
  <si>
    <t>MFMER</t>
  </si>
  <si>
    <t>Euro</t>
  </si>
  <si>
    <t>Germany</t>
  </si>
  <si>
    <t>Europe</t>
  </si>
  <si>
    <t>Construction Materials</t>
  </si>
  <si>
    <t>Morgan Stanley Global Brands CL I</t>
  </si>
  <si>
    <t>LU0119620176</t>
  </si>
  <si>
    <t>TIESI</t>
  </si>
  <si>
    <t>Spain</t>
  </si>
  <si>
    <t>Containers &amp; Packaging</t>
  </si>
  <si>
    <t>European Equity</t>
  </si>
  <si>
    <t>Ninety One Global Franchise CL I</t>
  </si>
  <si>
    <t>LU0426422076</t>
  </si>
  <si>
    <t>SSDRF</t>
  </si>
  <si>
    <t>Lord Abbet Short Duration Income</t>
  </si>
  <si>
    <t>IE00BFNWYB63</t>
  </si>
  <si>
    <t>SCHHH</t>
  </si>
  <si>
    <t>Bond</t>
  </si>
  <si>
    <t>Bond Fund</t>
  </si>
  <si>
    <t>Industrials</t>
  </si>
  <si>
    <t>Capital Goods</t>
  </si>
  <si>
    <t>Short Bond</t>
  </si>
  <si>
    <t>Virus MultiSector Short Term Bond</t>
  </si>
  <si>
    <t>IE00BQSBJZ46</t>
  </si>
  <si>
    <t>AGACZ</t>
  </si>
  <si>
    <t>Commercial &amp; Professional Services</t>
  </si>
  <si>
    <t>Long Bond</t>
  </si>
  <si>
    <t>ISHARES USD SHORT DURATION CORP BOND UCITS</t>
  </si>
  <si>
    <t>IE00BYXYYP94</t>
  </si>
  <si>
    <t>NUHGZ</t>
  </si>
  <si>
    <t>Bond ETF</t>
  </si>
  <si>
    <t>Transportation</t>
  </si>
  <si>
    <t>ISHARES USD CORP BOND UCITS ETF ACCUM</t>
  </si>
  <si>
    <t>IE00BYXYYJ35</t>
  </si>
  <si>
    <t>AEUUU</t>
  </si>
  <si>
    <t>Ishares Treasury Bond 1-3 year UCITS ETF</t>
  </si>
  <si>
    <t>IE00B3VWN179</t>
  </si>
  <si>
    <t>EUEIC</t>
  </si>
  <si>
    <t>Yen</t>
  </si>
  <si>
    <t>Japan</t>
  </si>
  <si>
    <t>Asia &amp; Pacific</t>
  </si>
  <si>
    <t>AB Short Duration High Yield</t>
  </si>
  <si>
    <t>LU0654560100</t>
  </si>
  <si>
    <t>MOTTZ</t>
  </si>
  <si>
    <t>Morgan Stanley Short Duration High Yield</t>
  </si>
  <si>
    <t>LU1134226536</t>
  </si>
  <si>
    <t>IMSCF</t>
  </si>
  <si>
    <t>iShares High Yield</t>
  </si>
  <si>
    <t>IE00B4PY7Y77</t>
  </si>
  <si>
    <t>IHHSF</t>
  </si>
  <si>
    <t>Blackstone Real Estate Income</t>
  </si>
  <si>
    <t>8359619M7</t>
  </si>
  <si>
    <t>CACCZ</t>
  </si>
  <si>
    <t>Alternative</t>
  </si>
  <si>
    <t>Real Estate</t>
  </si>
  <si>
    <t>Nuveen Global Cities Real Estate Income</t>
  </si>
  <si>
    <t>8359619L9</t>
  </si>
  <si>
    <t>LODEZ</t>
  </si>
  <si>
    <t>Blackstone Private Credit Fund Class I</t>
  </si>
  <si>
    <t>09261H305</t>
  </si>
  <si>
    <t>PGLAZ</t>
  </si>
  <si>
    <t>Private Credit</t>
  </si>
  <si>
    <t>Owl Rock Core Income</t>
  </si>
  <si>
    <t>8359769R4</t>
  </si>
  <si>
    <t>LODUT</t>
  </si>
  <si>
    <t>North Haven Private Income</t>
  </si>
  <si>
    <t>6269979A0</t>
  </si>
  <si>
    <t>ISHVF</t>
  </si>
  <si>
    <t>Cash</t>
  </si>
  <si>
    <t>CASH</t>
  </si>
  <si>
    <t>USD.CCY</t>
  </si>
  <si>
    <t>Parameters</t>
  </si>
  <si>
    <t>Values</t>
  </si>
  <si>
    <t>Portfolio Name</t>
  </si>
  <si>
    <t>Report Date</t>
  </si>
  <si>
    <t>Risk Horizon</t>
  </si>
  <si>
    <t>Benchmark</t>
  </si>
  <si>
    <t>BM_20_80</t>
  </si>
  <si>
    <t>As of Date</t>
  </si>
  <si>
    <t>1 Month</t>
  </si>
  <si>
    <t>Tail Measure</t>
  </si>
  <si>
    <t>Return Frequency</t>
  </si>
  <si>
    <t>Expected Return</t>
  </si>
  <si>
    <t>Upload</t>
  </si>
  <si>
    <t>Base Currency</t>
  </si>
  <si>
    <t>Model 6</t>
  </si>
  <si>
    <t>95% TailVaR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</si>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</sst>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2" borderId="1" xfId="4" applyNumberFormat="1" applyFont="1" applyFill="1" applyBorder="1" applyAlignment="1">
      <alignment horizontal="left"/>
    </xf>
    <xf numFmtId="0" fontId="3" fillId="2" borderId="1" xfId="5" applyNumberFormat="1" applyFont="1" applyFill="1" applyBorder="1"/>
    <xf numFmtId="0" fontId="2" fillId="2" borderId="1" xfId="0" applyFont="1" applyFill="1" applyBorder="1" applyAlignment="1">
      <alignment horizontal="center" vertical="top"/>
    </xf>
    <xf numFmtId="0" fontId="3" fillId="2" borderId="1" xfId="4" applyNumberFormat="1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1" applyNumberFormat="1" applyFont="1"/>
    <xf numFmtId="44" fontId="0" fillId="0" borderId="0" xfId="2" applyFont="1"/>
    <xf numFmtId="10" fontId="0" fillId="0" borderId="0" xfId="3" applyNumberFormat="1" applyFont="1"/>
    <xf numFmtId="2" fontId="0" fillId="0" borderId="0" xfId="0" applyNumberFormat="1"/>
    <xf numFmtId="14" fontId="0" fillId="0" borderId="0" xfId="0" applyNumberFormat="1"/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0" fontId="0" fillId="3" borderId="2" xfId="3" applyNumberFormat="1" applyFont="1" applyFill="1" applyBorder="1" applyAlignment="1">
      <alignment horizontal="center"/>
    </xf>
  </cellXfs>
  <cellStyles count="6">
    <cellStyle name="Comma" xfId="1" builtinId="3"/>
    <cellStyle name="Comma 2" xfId="5"/>
    <cellStyle name="Currency" xfId="2" builtinId="4"/>
    <cellStyle name="Normal" xfId="0" builtinId="0"/>
    <cellStyle name="Percent" xfId="3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8" sqref="B8"/>
    </sheetView>
  </sheetViews>
  <sheetFormatPr defaultRowHeight="15" x14ac:dyDescent="0.25"/>
  <cols>
    <col min="1" max="1" width="27.7109375" style="13" customWidth="1"/>
    <col min="2" max="2" width="43.28515625" style="14" customWidth="1"/>
    <col min="3" max="16384" width="9.140625" style="13"/>
  </cols>
  <sheetData>
    <row r="1" spans="1:2" s="12" customFormat="1" x14ac:dyDescent="0.25">
      <c r="A1" s="15" t="s">
        <v>120</v>
      </c>
      <c r="B1" s="16" t="s">
        <v>121</v>
      </c>
    </row>
    <row r="2" spans="1:2" x14ac:dyDescent="0.25">
      <c r="A2" s="17" t="s">
        <v>122</v>
      </c>
      <c r="B2" s="18" t="s">
        <v>134</v>
      </c>
    </row>
    <row r="3" spans="1:2" x14ac:dyDescent="0.25">
      <c r="A3" s="17" t="s">
        <v>127</v>
      </c>
      <c r="B3" s="19">
        <v>45473</v>
      </c>
    </row>
    <row r="4" spans="1:2" x14ac:dyDescent="0.25">
      <c r="A4" s="17" t="s">
        <v>123</v>
      </c>
      <c r="B4" s="19">
        <v>45473</v>
      </c>
    </row>
    <row r="5" spans="1:2" x14ac:dyDescent="0.25">
      <c r="A5" s="17" t="s">
        <v>124</v>
      </c>
      <c r="B5" s="19" t="s">
        <v>128</v>
      </c>
    </row>
    <row r="6" spans="1:2" x14ac:dyDescent="0.25">
      <c r="A6" s="17" t="s">
        <v>129</v>
      </c>
      <c r="B6" s="18" t="s">
        <v>135</v>
      </c>
    </row>
    <row r="7" spans="1:2" x14ac:dyDescent="0.25">
      <c r="A7" s="17" t="s">
        <v>130</v>
      </c>
      <c r="B7" s="18" t="s">
        <v>136</v>
      </c>
    </row>
    <row r="8" spans="1:2" x14ac:dyDescent="0.25">
      <c r="A8" s="17" t="s">
        <v>125</v>
      </c>
      <c r="B8" s="18" t="s">
        <v>126</v>
      </c>
    </row>
    <row r="9" spans="1:2" x14ac:dyDescent="0.25">
      <c r="A9" s="17" t="s">
        <v>131</v>
      </c>
      <c r="B9" s="18" t="s">
        <v>132</v>
      </c>
    </row>
    <row r="10" spans="1:2" x14ac:dyDescent="0.25">
      <c r="A10" s="17" t="s">
        <v>133</v>
      </c>
      <c r="B10" s="2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tabSelected="1" workbookViewId="0">
      <selection activeCell="F20" sqref="F20"/>
    </sheetView>
  </sheetViews>
  <sheetFormatPr defaultRowHeight="15" x14ac:dyDescent="0.25"/>
  <cols>
    <col min="1" max="1" width="46" bestFit="1" customWidth="1"/>
    <col min="2" max="2" width="14.42578125" bestFit="1" customWidth="1"/>
    <col min="3" max="3" width="10.7109375" bestFit="1" customWidth="1"/>
    <col min="4" max="4" width="8.42578125" bestFit="1" customWidth="1"/>
    <col min="5" max="5" width="9.7109375" bestFit="1" customWidth="1"/>
    <col min="6" max="6" width="14.28515625" bestFit="1" customWidth="1"/>
    <col min="7" max="7" width="12.140625" customWidth="1"/>
    <col min="8" max="8" width="16.7109375" bestFit="1" customWidth="1"/>
    <col min="9" max="9" width="11" bestFit="1" customWidth="1"/>
    <col min="10" max="10" width="13.28515625" bestFit="1" customWidth="1"/>
    <col min="11" max="11" width="9.7109375" bestFit="1" customWidth="1"/>
    <col min="12" max="12" width="14.42578125" bestFit="1" customWidth="1"/>
    <col min="13" max="13" width="9.7109375" bestFit="1" customWidth="1"/>
    <col min="14" max="14" width="12.85546875" bestFit="1" customWidth="1"/>
    <col min="15" max="15" width="14" bestFit="1" customWidth="1"/>
    <col min="16" max="16" width="10.28515625" bestFit="1" customWidth="1"/>
    <col min="17" max="17" width="33.28515625" bestFit="1" customWidth="1"/>
    <col min="18" max="18" width="12.5703125" bestFit="1" customWidth="1"/>
    <col min="19" max="19" width="19" bestFit="1" customWidth="1"/>
    <col min="20" max="20" width="14.42578125" bestFit="1" customWidth="1"/>
    <col min="21" max="21" width="13.7109375" bestFit="1" customWidth="1"/>
    <col min="22" max="22" width="22.140625" bestFit="1" customWidth="1"/>
    <col min="23" max="23" width="13.140625" bestFit="1" customWidth="1"/>
    <col min="24" max="24" width="11" bestFit="1" customWidth="1"/>
    <col min="25" max="25" width="13.28515625" bestFit="1" customWidth="1"/>
    <col min="26" max="26" width="15.57031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25">
      <c r="A2" t="s">
        <v>26</v>
      </c>
      <c r="B2" t="s">
        <v>27</v>
      </c>
      <c r="D2" t="s">
        <v>28</v>
      </c>
      <c r="E2" s="7">
        <v>3133.2246789252599</v>
      </c>
      <c r="F2" s="8">
        <f>10000000*G2</f>
        <v>1000000</v>
      </c>
      <c r="G2" s="9">
        <v>0.1</v>
      </c>
      <c r="H2" s="9">
        <v>4.3999999999999997E-2</v>
      </c>
      <c r="I2" t="s">
        <v>29</v>
      </c>
      <c r="J2" t="s">
        <v>30</v>
      </c>
      <c r="K2" s="10">
        <v>79.790000915527301</v>
      </c>
      <c r="L2" s="11">
        <v>45107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X2" t="s">
        <v>29</v>
      </c>
      <c r="Y2" t="s">
        <v>30</v>
      </c>
      <c r="Z2" t="s">
        <v>36</v>
      </c>
    </row>
    <row r="3" spans="1:26" x14ac:dyDescent="0.25">
      <c r="A3" t="s">
        <v>37</v>
      </c>
      <c r="B3" t="s">
        <v>38</v>
      </c>
      <c r="D3" t="s">
        <v>39</v>
      </c>
      <c r="E3" s="7">
        <v>540.13178503466997</v>
      </c>
      <c r="F3" s="8">
        <f t="shared" ref="F3:F21" si="0">10000000*G3</f>
        <v>1000000</v>
      </c>
      <c r="G3" s="9">
        <v>0.1</v>
      </c>
      <c r="H3" s="9">
        <v>4.3999999999999997E-2</v>
      </c>
      <c r="I3" t="s">
        <v>29</v>
      </c>
      <c r="J3" t="s">
        <v>30</v>
      </c>
      <c r="K3" s="10">
        <v>462.850006103515</v>
      </c>
      <c r="L3" s="11">
        <v>45107</v>
      </c>
      <c r="M3" t="s">
        <v>31</v>
      </c>
      <c r="N3" t="s">
        <v>32</v>
      </c>
      <c r="O3" t="s">
        <v>33</v>
      </c>
      <c r="P3" t="s">
        <v>34</v>
      </c>
      <c r="Q3" t="s">
        <v>40</v>
      </c>
      <c r="X3" t="s">
        <v>29</v>
      </c>
      <c r="Y3" t="s">
        <v>30</v>
      </c>
      <c r="Z3" t="s">
        <v>36</v>
      </c>
    </row>
    <row r="4" spans="1:26" x14ac:dyDescent="0.25">
      <c r="A4" t="s">
        <v>41</v>
      </c>
      <c r="B4" t="s">
        <v>42</v>
      </c>
      <c r="D4" t="s">
        <v>43</v>
      </c>
      <c r="E4" s="7">
        <v>7616.1461636253698</v>
      </c>
      <c r="F4" s="8">
        <f t="shared" si="0"/>
        <v>1000000</v>
      </c>
      <c r="G4" s="9">
        <v>0.1</v>
      </c>
      <c r="H4" s="9">
        <v>6.0499999999999998E-2</v>
      </c>
      <c r="I4" t="s">
        <v>29</v>
      </c>
      <c r="J4" t="s">
        <v>44</v>
      </c>
      <c r="K4" s="10">
        <v>26.2600002288818</v>
      </c>
      <c r="L4" s="11">
        <v>45107</v>
      </c>
      <c r="M4" t="s">
        <v>31</v>
      </c>
      <c r="N4" t="s">
        <v>32</v>
      </c>
      <c r="O4" t="s">
        <v>33</v>
      </c>
      <c r="P4" t="s">
        <v>45</v>
      </c>
      <c r="Q4" t="s">
        <v>46</v>
      </c>
      <c r="X4" t="s">
        <v>29</v>
      </c>
      <c r="Y4" t="s">
        <v>44</v>
      </c>
      <c r="Z4" t="s">
        <v>36</v>
      </c>
    </row>
    <row r="5" spans="1:26" x14ac:dyDescent="0.25">
      <c r="A5" t="s">
        <v>47</v>
      </c>
      <c r="B5" t="s">
        <v>48</v>
      </c>
      <c r="D5" t="s">
        <v>49</v>
      </c>
      <c r="E5" s="7">
        <v>1137.3976579007799</v>
      </c>
      <c r="F5" s="8">
        <f t="shared" si="0"/>
        <v>500000</v>
      </c>
      <c r="G5" s="9">
        <v>0.05</v>
      </c>
      <c r="H5" s="9">
        <v>5.1999999999999998E-2</v>
      </c>
      <c r="I5" t="s">
        <v>29</v>
      </c>
      <c r="J5" t="s">
        <v>30</v>
      </c>
      <c r="K5" s="10">
        <v>175.83999633789</v>
      </c>
      <c r="L5" s="11">
        <v>45107</v>
      </c>
      <c r="M5" t="s">
        <v>50</v>
      </c>
      <c r="N5" t="s">
        <v>51</v>
      </c>
      <c r="O5" t="s">
        <v>52</v>
      </c>
      <c r="P5" t="s">
        <v>45</v>
      </c>
      <c r="Q5" t="s">
        <v>53</v>
      </c>
      <c r="X5" t="s">
        <v>29</v>
      </c>
      <c r="Y5" t="s">
        <v>30</v>
      </c>
      <c r="Z5" t="s">
        <v>36</v>
      </c>
    </row>
    <row r="6" spans="1:26" x14ac:dyDescent="0.25">
      <c r="A6" t="s">
        <v>54</v>
      </c>
      <c r="B6" t="s">
        <v>55</v>
      </c>
      <c r="D6" t="s">
        <v>56</v>
      </c>
      <c r="E6" s="7">
        <v>858.36909871244598</v>
      </c>
      <c r="F6" s="8">
        <f t="shared" si="0"/>
        <v>800000</v>
      </c>
      <c r="G6" s="9">
        <v>0.08</v>
      </c>
      <c r="H6" s="9">
        <v>5.1999999999999998E-2</v>
      </c>
      <c r="I6" t="s">
        <v>29</v>
      </c>
      <c r="J6" t="s">
        <v>44</v>
      </c>
      <c r="K6" s="10">
        <v>233</v>
      </c>
      <c r="L6" s="11">
        <v>45107</v>
      </c>
      <c r="M6" t="s">
        <v>50</v>
      </c>
      <c r="N6" t="s">
        <v>57</v>
      </c>
      <c r="O6" t="s">
        <v>52</v>
      </c>
      <c r="P6" t="s">
        <v>45</v>
      </c>
      <c r="Q6" t="s">
        <v>58</v>
      </c>
      <c r="X6" t="s">
        <v>29</v>
      </c>
      <c r="Y6" t="s">
        <v>44</v>
      </c>
      <c r="Z6" t="s">
        <v>59</v>
      </c>
    </row>
    <row r="7" spans="1:26" x14ac:dyDescent="0.25">
      <c r="A7" t="s">
        <v>60</v>
      </c>
      <c r="B7" t="s">
        <v>61</v>
      </c>
      <c r="D7" t="s">
        <v>62</v>
      </c>
      <c r="E7" s="7">
        <v>2312.9409043598898</v>
      </c>
      <c r="F7" s="8">
        <f t="shared" si="0"/>
        <v>500000</v>
      </c>
      <c r="G7" s="9">
        <v>0.05</v>
      </c>
      <c r="H7" s="9">
        <v>5.1999999999999998E-2</v>
      </c>
      <c r="I7" t="s">
        <v>29</v>
      </c>
      <c r="J7" t="s">
        <v>44</v>
      </c>
      <c r="K7" s="10">
        <v>86.47</v>
      </c>
      <c r="L7" s="11">
        <v>45107</v>
      </c>
      <c r="M7" t="s">
        <v>31</v>
      </c>
      <c r="N7" t="s">
        <v>32</v>
      </c>
      <c r="O7" t="s">
        <v>33</v>
      </c>
      <c r="P7" t="s">
        <v>45</v>
      </c>
      <c r="Q7" t="s">
        <v>58</v>
      </c>
      <c r="X7" t="s">
        <v>29</v>
      </c>
      <c r="Y7" t="s">
        <v>44</v>
      </c>
      <c r="Z7" t="s">
        <v>59</v>
      </c>
    </row>
    <row r="8" spans="1:26" x14ac:dyDescent="0.25">
      <c r="A8" t="s">
        <v>63</v>
      </c>
      <c r="B8" t="s">
        <v>64</v>
      </c>
      <c r="D8" t="s">
        <v>65</v>
      </c>
      <c r="E8" s="7">
        <v>88809.944908793594</v>
      </c>
      <c r="F8" s="8">
        <f t="shared" si="0"/>
        <v>1000000</v>
      </c>
      <c r="G8" s="9">
        <v>0.1</v>
      </c>
      <c r="H8" s="9">
        <v>4.8000000000000001E-2</v>
      </c>
      <c r="I8" t="s">
        <v>66</v>
      </c>
      <c r="J8" t="s">
        <v>67</v>
      </c>
      <c r="K8" s="10">
        <v>11.2600002288818</v>
      </c>
      <c r="L8" s="11">
        <v>45107</v>
      </c>
      <c r="M8" t="s">
        <v>31</v>
      </c>
      <c r="N8" t="s">
        <v>32</v>
      </c>
      <c r="O8" t="s">
        <v>33</v>
      </c>
      <c r="P8" t="s">
        <v>68</v>
      </c>
      <c r="Q8" t="s">
        <v>69</v>
      </c>
      <c r="X8" t="s">
        <v>66</v>
      </c>
      <c r="Y8" t="s">
        <v>67</v>
      </c>
      <c r="Z8" t="s">
        <v>70</v>
      </c>
    </row>
    <row r="9" spans="1:26" x14ac:dyDescent="0.25">
      <c r="A9" t="s">
        <v>71</v>
      </c>
      <c r="B9" t="s">
        <v>72</v>
      </c>
      <c r="D9" t="s">
        <v>73</v>
      </c>
      <c r="E9" s="7">
        <v>86206.893716782695</v>
      </c>
      <c r="F9" s="8">
        <f t="shared" si="0"/>
        <v>700000.00000000012</v>
      </c>
      <c r="G9" s="9">
        <v>7.0000000000000007E-2</v>
      </c>
      <c r="H9" s="9">
        <v>4.8000000000000001E-2</v>
      </c>
      <c r="I9" t="s">
        <v>66</v>
      </c>
      <c r="J9" t="s">
        <v>67</v>
      </c>
      <c r="K9" s="10">
        <v>11.6000003814697</v>
      </c>
      <c r="L9" s="11">
        <v>45107</v>
      </c>
      <c r="M9" t="s">
        <v>31</v>
      </c>
      <c r="N9" t="s">
        <v>32</v>
      </c>
      <c r="O9" t="s">
        <v>33</v>
      </c>
      <c r="P9" t="s">
        <v>68</v>
      </c>
      <c r="Q9" t="s">
        <v>74</v>
      </c>
      <c r="X9" t="s">
        <v>66</v>
      </c>
      <c r="Y9" t="s">
        <v>67</v>
      </c>
      <c r="Z9" t="s">
        <v>75</v>
      </c>
    </row>
    <row r="10" spans="1:26" x14ac:dyDescent="0.25">
      <c r="A10" t="s">
        <v>76</v>
      </c>
      <c r="B10" t="s">
        <v>77</v>
      </c>
      <c r="D10" t="s">
        <v>78</v>
      </c>
      <c r="E10" s="7">
        <v>348061.85535851697</v>
      </c>
      <c r="F10" s="8">
        <f t="shared" si="0"/>
        <v>500000</v>
      </c>
      <c r="G10" s="9">
        <v>0.05</v>
      </c>
      <c r="H10" s="9">
        <v>4.8000000000000001E-2</v>
      </c>
      <c r="I10" t="s">
        <v>66</v>
      </c>
      <c r="J10" t="s">
        <v>79</v>
      </c>
      <c r="K10" s="10">
        <v>5.4587998390197701</v>
      </c>
      <c r="L10" s="11">
        <v>45107</v>
      </c>
      <c r="M10" t="s">
        <v>31</v>
      </c>
      <c r="N10" t="s">
        <v>32</v>
      </c>
      <c r="O10" t="s">
        <v>33</v>
      </c>
      <c r="P10" t="s">
        <v>68</v>
      </c>
      <c r="Q10" t="s">
        <v>80</v>
      </c>
      <c r="X10" t="s">
        <v>66</v>
      </c>
      <c r="Y10" t="s">
        <v>79</v>
      </c>
      <c r="Z10" t="s">
        <v>75</v>
      </c>
    </row>
    <row r="11" spans="1:26" x14ac:dyDescent="0.25">
      <c r="A11" t="s">
        <v>81</v>
      </c>
      <c r="B11" t="s">
        <v>82</v>
      </c>
      <c r="D11" t="s">
        <v>83</v>
      </c>
      <c r="E11" s="7">
        <v>345140.77393311</v>
      </c>
      <c r="F11" s="8">
        <f t="shared" si="0"/>
        <v>500000</v>
      </c>
      <c r="G11" s="9">
        <v>0.05</v>
      </c>
      <c r="H11" s="9">
        <v>4.8000000000000001E-2</v>
      </c>
      <c r="I11" t="s">
        <v>66</v>
      </c>
      <c r="J11" t="s">
        <v>79</v>
      </c>
      <c r="K11" s="10">
        <v>5.50500011444091</v>
      </c>
      <c r="L11" s="11">
        <v>45107</v>
      </c>
      <c r="M11" t="s">
        <v>31</v>
      </c>
      <c r="N11" t="s">
        <v>32</v>
      </c>
      <c r="O11" t="s">
        <v>33</v>
      </c>
      <c r="P11" t="s">
        <v>68</v>
      </c>
      <c r="Q11" t="s">
        <v>69</v>
      </c>
      <c r="X11" t="s">
        <v>66</v>
      </c>
      <c r="Y11" t="s">
        <v>79</v>
      </c>
      <c r="Z11" t="s">
        <v>70</v>
      </c>
    </row>
    <row r="12" spans="1:26" x14ac:dyDescent="0.25">
      <c r="A12" t="s">
        <v>84</v>
      </c>
      <c r="B12" t="s">
        <v>85</v>
      </c>
      <c r="D12" t="s">
        <v>86</v>
      </c>
      <c r="E12" s="7">
        <v>8154.0203850509597</v>
      </c>
      <c r="F12" s="8">
        <f t="shared" si="0"/>
        <v>900000</v>
      </c>
      <c r="G12" s="9">
        <v>0.09</v>
      </c>
      <c r="H12" s="9">
        <v>4.8000000000000001E-2</v>
      </c>
      <c r="I12" t="s">
        <v>66</v>
      </c>
      <c r="J12" t="s">
        <v>79</v>
      </c>
      <c r="K12" s="10">
        <v>110.375</v>
      </c>
      <c r="L12" s="11">
        <v>45107</v>
      </c>
      <c r="M12" t="s">
        <v>87</v>
      </c>
      <c r="N12" t="s">
        <v>88</v>
      </c>
      <c r="O12" t="s">
        <v>89</v>
      </c>
      <c r="P12" t="s">
        <v>68</v>
      </c>
      <c r="Q12" t="s">
        <v>74</v>
      </c>
      <c r="X12" t="s">
        <v>66</v>
      </c>
      <c r="Y12" t="s">
        <v>79</v>
      </c>
      <c r="Z12" t="s">
        <v>75</v>
      </c>
    </row>
    <row r="13" spans="1:26" x14ac:dyDescent="0.25">
      <c r="A13" t="s">
        <v>90</v>
      </c>
      <c r="B13" t="s">
        <v>91</v>
      </c>
      <c r="D13" t="s">
        <v>92</v>
      </c>
      <c r="E13" s="7">
        <v>8591.0652920962202</v>
      </c>
      <c r="F13" s="8">
        <f t="shared" si="0"/>
        <v>200000</v>
      </c>
      <c r="G13" s="9">
        <v>0.02</v>
      </c>
      <c r="H13" s="9">
        <v>7.0999999999999994E-2</v>
      </c>
      <c r="I13" t="s">
        <v>66</v>
      </c>
      <c r="J13" t="s">
        <v>67</v>
      </c>
      <c r="K13" s="10">
        <v>23.28</v>
      </c>
      <c r="L13" s="11">
        <v>45107</v>
      </c>
      <c r="M13" t="s">
        <v>87</v>
      </c>
      <c r="N13" t="s">
        <v>88</v>
      </c>
      <c r="O13" t="s">
        <v>89</v>
      </c>
      <c r="P13" t="s">
        <v>68</v>
      </c>
      <c r="Q13" t="s">
        <v>80</v>
      </c>
      <c r="X13" t="s">
        <v>66</v>
      </c>
      <c r="Y13" t="s">
        <v>67</v>
      </c>
      <c r="Z13" t="s">
        <v>70</v>
      </c>
    </row>
    <row r="14" spans="1:26" x14ac:dyDescent="0.25">
      <c r="A14" t="s">
        <v>93</v>
      </c>
      <c r="B14" t="s">
        <v>94</v>
      </c>
      <c r="D14" t="s">
        <v>95</v>
      </c>
      <c r="E14" s="7">
        <v>5643.3408577878099</v>
      </c>
      <c r="F14" s="8">
        <f t="shared" si="0"/>
        <v>200000</v>
      </c>
      <c r="G14" s="9">
        <v>0.02</v>
      </c>
      <c r="H14" s="9">
        <v>7.0999999999999994E-2</v>
      </c>
      <c r="I14" t="s">
        <v>66</v>
      </c>
      <c r="J14" t="s">
        <v>67</v>
      </c>
      <c r="K14" s="10">
        <v>35.44</v>
      </c>
      <c r="L14" s="11">
        <v>45107</v>
      </c>
      <c r="M14" t="s">
        <v>31</v>
      </c>
      <c r="N14" t="s">
        <v>32</v>
      </c>
      <c r="O14" t="s">
        <v>33</v>
      </c>
      <c r="P14" t="s">
        <v>68</v>
      </c>
      <c r="Q14" t="s">
        <v>69</v>
      </c>
      <c r="X14" t="s">
        <v>66</v>
      </c>
      <c r="Y14" t="s">
        <v>67</v>
      </c>
      <c r="Z14" t="s">
        <v>75</v>
      </c>
    </row>
    <row r="15" spans="1:26" x14ac:dyDescent="0.25">
      <c r="A15" t="s">
        <v>96</v>
      </c>
      <c r="B15" t="s">
        <v>97</v>
      </c>
      <c r="D15" t="s">
        <v>98</v>
      </c>
      <c r="E15" s="7">
        <v>2428.0683905682999</v>
      </c>
      <c r="F15" s="8">
        <f t="shared" si="0"/>
        <v>200000</v>
      </c>
      <c r="G15" s="9">
        <v>0.02</v>
      </c>
      <c r="H15" s="9">
        <v>7.0999999999999994E-2</v>
      </c>
      <c r="I15" t="s">
        <v>66</v>
      </c>
      <c r="J15" t="s">
        <v>79</v>
      </c>
      <c r="K15" s="10">
        <v>82.370002746582003</v>
      </c>
      <c r="L15" s="11">
        <v>45107</v>
      </c>
      <c r="M15" t="s">
        <v>31</v>
      </c>
      <c r="N15" t="s">
        <v>32</v>
      </c>
      <c r="O15" t="s">
        <v>33</v>
      </c>
      <c r="P15" t="s">
        <v>68</v>
      </c>
      <c r="Q15" t="s">
        <v>74</v>
      </c>
      <c r="X15" t="s">
        <v>66</v>
      </c>
      <c r="Y15" t="s">
        <v>79</v>
      </c>
      <c r="Z15" t="s">
        <v>75</v>
      </c>
    </row>
    <row r="16" spans="1:26" x14ac:dyDescent="0.25">
      <c r="A16" t="s">
        <v>99</v>
      </c>
      <c r="B16" t="s">
        <v>100</v>
      </c>
      <c r="C16" t="s">
        <v>100</v>
      </c>
      <c r="D16" t="s">
        <v>101</v>
      </c>
      <c r="E16" s="7">
        <v>72909.0415921229</v>
      </c>
      <c r="F16" s="8">
        <f t="shared" si="0"/>
        <v>150000</v>
      </c>
      <c r="G16" s="9">
        <v>1.4999999999999999E-2</v>
      </c>
      <c r="H16" s="9">
        <v>0.05</v>
      </c>
      <c r="I16" t="s">
        <v>102</v>
      </c>
      <c r="J16" t="s">
        <v>103</v>
      </c>
      <c r="K16" s="10">
        <v>2.0573580001112699</v>
      </c>
      <c r="L16" s="11">
        <v>45107</v>
      </c>
      <c r="M16" t="s">
        <v>31</v>
      </c>
      <c r="N16" t="s">
        <v>32</v>
      </c>
      <c r="O16" t="s">
        <v>33</v>
      </c>
      <c r="P16" t="s">
        <v>68</v>
      </c>
      <c r="Q16" t="s">
        <v>80</v>
      </c>
      <c r="X16" t="s">
        <v>102</v>
      </c>
      <c r="Y16" t="s">
        <v>103</v>
      </c>
      <c r="Z16" t="s">
        <v>103</v>
      </c>
    </row>
    <row r="17" spans="1:26" x14ac:dyDescent="0.25">
      <c r="A17" t="s">
        <v>104</v>
      </c>
      <c r="B17" t="s">
        <v>105</v>
      </c>
      <c r="C17" t="s">
        <v>105</v>
      </c>
      <c r="D17" t="s">
        <v>106</v>
      </c>
      <c r="E17" s="7">
        <v>93134.278359645105</v>
      </c>
      <c r="F17" s="8">
        <f t="shared" si="0"/>
        <v>150000</v>
      </c>
      <c r="G17" s="9">
        <v>1.4999999999999999E-2</v>
      </c>
      <c r="H17" s="9">
        <v>0.05</v>
      </c>
      <c r="I17" t="s">
        <v>102</v>
      </c>
      <c r="J17" t="s">
        <v>103</v>
      </c>
      <c r="K17" s="10">
        <v>1.6105777877052201</v>
      </c>
      <c r="L17" s="11">
        <v>45107</v>
      </c>
      <c r="M17" t="s">
        <v>31</v>
      </c>
      <c r="N17" t="s">
        <v>32</v>
      </c>
      <c r="O17" t="s">
        <v>33</v>
      </c>
      <c r="P17" t="s">
        <v>68</v>
      </c>
      <c r="Q17" t="s">
        <v>69</v>
      </c>
      <c r="X17" t="s">
        <v>102</v>
      </c>
      <c r="Y17" t="s">
        <v>103</v>
      </c>
      <c r="Z17" t="s">
        <v>103</v>
      </c>
    </row>
    <row r="18" spans="1:26" x14ac:dyDescent="0.25">
      <c r="A18" t="s">
        <v>107</v>
      </c>
      <c r="B18" t="s">
        <v>108</v>
      </c>
      <c r="C18" t="s">
        <v>108</v>
      </c>
      <c r="D18" t="s">
        <v>109</v>
      </c>
      <c r="E18" s="7">
        <v>164980.25120397101</v>
      </c>
      <c r="F18" s="8">
        <f t="shared" si="0"/>
        <v>200000</v>
      </c>
      <c r="G18" s="9">
        <v>0.02</v>
      </c>
      <c r="H18" s="9">
        <v>9.2999999999999999E-2</v>
      </c>
      <c r="I18" t="s">
        <v>102</v>
      </c>
      <c r="J18" t="s">
        <v>110</v>
      </c>
      <c r="K18" s="10">
        <v>1.2122663078790701</v>
      </c>
      <c r="L18" s="11">
        <v>45107</v>
      </c>
      <c r="M18" t="s">
        <v>31</v>
      </c>
      <c r="N18" t="s">
        <v>32</v>
      </c>
      <c r="O18" t="s">
        <v>33</v>
      </c>
      <c r="P18" t="s">
        <v>68</v>
      </c>
      <c r="Q18" t="s">
        <v>74</v>
      </c>
      <c r="X18" t="s">
        <v>102</v>
      </c>
      <c r="Y18" t="s">
        <v>110</v>
      </c>
      <c r="Z18" t="s">
        <v>110</v>
      </c>
    </row>
    <row r="19" spans="1:26" x14ac:dyDescent="0.25">
      <c r="A19" t="s">
        <v>111</v>
      </c>
      <c r="B19" t="s">
        <v>112</v>
      </c>
      <c r="C19" t="s">
        <v>112</v>
      </c>
      <c r="D19" t="s">
        <v>113</v>
      </c>
      <c r="E19" s="7">
        <v>173246.43870251501</v>
      </c>
      <c r="F19" s="8">
        <f t="shared" si="0"/>
        <v>200000</v>
      </c>
      <c r="G19" s="9">
        <v>0.02</v>
      </c>
      <c r="H19" s="9">
        <v>9.2999999999999999E-2</v>
      </c>
      <c r="I19" t="s">
        <v>102</v>
      </c>
      <c r="J19" t="s">
        <v>110</v>
      </c>
      <c r="K19" s="10">
        <v>1.1544248845623999</v>
      </c>
      <c r="L19" s="11">
        <v>45107</v>
      </c>
      <c r="M19" t="s">
        <v>31</v>
      </c>
      <c r="N19" t="s">
        <v>32</v>
      </c>
      <c r="O19" t="s">
        <v>33</v>
      </c>
      <c r="P19" t="s">
        <v>68</v>
      </c>
      <c r="Q19" t="s">
        <v>80</v>
      </c>
      <c r="X19" t="s">
        <v>102</v>
      </c>
      <c r="Y19" t="s">
        <v>110</v>
      </c>
      <c r="Z19" t="s">
        <v>110</v>
      </c>
    </row>
    <row r="20" spans="1:26" x14ac:dyDescent="0.25">
      <c r="A20" t="s">
        <v>114</v>
      </c>
      <c r="B20" t="s">
        <v>115</v>
      </c>
      <c r="C20" t="s">
        <v>115</v>
      </c>
      <c r="D20" t="s">
        <v>116</v>
      </c>
      <c r="E20" s="7">
        <v>200000</v>
      </c>
      <c r="F20" s="8">
        <f t="shared" si="0"/>
        <v>200000</v>
      </c>
      <c r="G20" s="9">
        <v>0.02</v>
      </c>
      <c r="H20" s="9">
        <v>9.2999999999999999E-2</v>
      </c>
      <c r="I20" t="s">
        <v>102</v>
      </c>
      <c r="J20" t="s">
        <v>110</v>
      </c>
      <c r="K20" s="10">
        <v>1</v>
      </c>
      <c r="L20" s="11">
        <v>45107</v>
      </c>
      <c r="M20" t="s">
        <v>31</v>
      </c>
      <c r="N20" t="s">
        <v>32</v>
      </c>
      <c r="O20" t="s">
        <v>33</v>
      </c>
      <c r="P20" t="s">
        <v>68</v>
      </c>
      <c r="Q20" t="s">
        <v>80</v>
      </c>
      <c r="X20" t="s">
        <v>102</v>
      </c>
      <c r="Y20" t="s">
        <v>110</v>
      </c>
      <c r="Z20" t="s">
        <v>110</v>
      </c>
    </row>
    <row r="21" spans="1:26" x14ac:dyDescent="0.25">
      <c r="A21" t="s">
        <v>117</v>
      </c>
      <c r="B21" t="s">
        <v>118</v>
      </c>
      <c r="D21" t="s">
        <v>119</v>
      </c>
      <c r="E21" s="7">
        <v>499999.99999999901</v>
      </c>
      <c r="F21" s="8">
        <f t="shared" si="0"/>
        <v>99999.999999996755</v>
      </c>
      <c r="G21" s="9">
        <f>1-SUM(G2:G20)</f>
        <v>9.9999999999996758E-3</v>
      </c>
      <c r="H21" s="9">
        <v>3.6999999999999998E-2</v>
      </c>
      <c r="I21" t="s">
        <v>117</v>
      </c>
      <c r="J21" t="s">
        <v>117</v>
      </c>
      <c r="K21" s="10">
        <v>1</v>
      </c>
      <c r="L21" s="11">
        <v>45107</v>
      </c>
      <c r="M21" t="s">
        <v>31</v>
      </c>
      <c r="N21" t="s">
        <v>32</v>
      </c>
      <c r="O21" t="s">
        <v>33</v>
      </c>
      <c r="P21" t="s">
        <v>68</v>
      </c>
      <c r="Q21" t="s">
        <v>80</v>
      </c>
      <c r="X21" t="s">
        <v>117</v>
      </c>
      <c r="Y21" t="s">
        <v>117</v>
      </c>
      <c r="Z2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Ding</dc:creator>
  <cp:lastModifiedBy>Michael Ding</cp:lastModifiedBy>
  <dcterms:created xsi:type="dcterms:W3CDTF">2024-07-13T15:38:51Z</dcterms:created>
  <dcterms:modified xsi:type="dcterms:W3CDTF">2024-11-05T21:49:13Z</dcterms:modified>
</cp:coreProperties>
</file>