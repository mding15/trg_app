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gdin\OneDrive\Documents\dev\TRG_App\test\test_portfolios\"/>
    </mc:Choice>
  </mc:AlternateContent>
  <bookViews>
    <workbookView xWindow="0" yWindow="0" windowWidth="28800" windowHeight="11910"/>
  </bookViews>
  <sheets>
    <sheet name="Parameters" sheetId="2" r:id="rId1"/>
    <sheet name="Positions" sheetId="3" r:id="rId2"/>
    <sheet name="test_pos" sheetId="1" r:id="rId3"/>
    <sheet name="security" sheetId="4" r:id="rId4"/>
    <sheet name="PortfolioTemplate" sheetId="5" r:id="rId5"/>
    <sheet name="prices" sheetId="6" r:id="rId6"/>
    <sheet name="risk_factors" sheetId="7" r:id="rId7"/>
    <sheet name="VaR" sheetId="8" r:id="rId8"/>
    <sheet name="catVaR" sheetId="9" r:id="rId9"/>
    <sheet name="performance" sheetId="10" r:id="rId10"/>
    <sheet name="tot_var" sheetId="11" r:id="rId11"/>
    <sheet name="db_risk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S22" i="1" l="1"/>
  <c r="Y22" i="1"/>
  <c r="AE22" i="1"/>
  <c r="AC22" i="1" l="1"/>
  <c r="AB22" i="1"/>
  <c r="G22" i="1"/>
  <c r="Y23" i="1" s="1"/>
  <c r="Z22" i="1"/>
  <c r="Z23" i="1" s="1"/>
  <c r="AB23" i="1" l="1"/>
  <c r="AC23" i="1"/>
  <c r="F22" i="8" l="1"/>
  <c r="H22" i="8"/>
</calcChain>
</file>

<file path=xl/sharedStrings.xml><?xml version="1.0" encoding="utf-8"?>
<sst xmlns="http://schemas.openxmlformats.org/spreadsheetml/2006/main" count="1026" uniqueCount="271">
  <si>
    <t>Horizon Days</t>
  </si>
  <si>
    <t>Benchmark 20% Equity, 80% Bond</t>
  </si>
  <si>
    <t>Benchmark Name</t>
  </si>
  <si>
    <t>Benchmark Expected Return</t>
  </si>
  <si>
    <t>BM_20_80</t>
  </si>
  <si>
    <t>Benchmark</t>
  </si>
  <si>
    <t>Confidence Level</t>
  </si>
  <si>
    <t>Month</t>
  </si>
  <si>
    <t>Risk Horizon</t>
  </si>
  <si>
    <t>Report Date</t>
  </si>
  <si>
    <t>Model_1</t>
  </si>
  <si>
    <t>Portfolio ID</t>
  </si>
  <si>
    <t>Model 1</t>
  </si>
  <si>
    <t>Portfolio Name</t>
  </si>
  <si>
    <t>Demo</t>
  </si>
  <si>
    <t>Client ID</t>
  </si>
  <si>
    <t>Value</t>
  </si>
  <si>
    <t>Parameter</t>
  </si>
  <si>
    <t>Transportation</t>
  </si>
  <si>
    <t>Industrials</t>
  </si>
  <si>
    <t>North America</t>
  </si>
  <si>
    <t>United States</t>
  </si>
  <si>
    <t>USD</t>
  </si>
  <si>
    <t>Cash</t>
  </si>
  <si>
    <t>USD.CCY</t>
  </si>
  <si>
    <t>CASH</t>
  </si>
  <si>
    <t>Private Credit</t>
  </si>
  <si>
    <t>Alternative</t>
  </si>
  <si>
    <t>ISHVF</t>
  </si>
  <si>
    <t>6269979A0</t>
  </si>
  <si>
    <t>North Haven Private Income</t>
  </si>
  <si>
    <t>LODUT</t>
  </si>
  <si>
    <t>8359769R4</t>
  </si>
  <si>
    <t>Owl Rock Core Income</t>
  </si>
  <si>
    <t>Commercial &amp; Professional Services</t>
  </si>
  <si>
    <t>PGLAZ</t>
  </si>
  <si>
    <t>09261H305</t>
  </si>
  <si>
    <t>Blackstone Private Credit Fund Class I</t>
  </si>
  <si>
    <t>Capital Goods</t>
  </si>
  <si>
    <t>Real Estate</t>
  </si>
  <si>
    <t>LODEZ</t>
  </si>
  <si>
    <t>8359619L9</t>
  </si>
  <si>
    <t>Nuveen Global Cities Real Estate Income</t>
  </si>
  <si>
    <t>CACCZ</t>
  </si>
  <si>
    <t>8359619M7</t>
  </si>
  <si>
    <t>Blackstone Real Estate Income</t>
  </si>
  <si>
    <t>Bond ETF</t>
  </si>
  <si>
    <t>Bond</t>
  </si>
  <si>
    <t>IHHSF</t>
  </si>
  <si>
    <t>IE00B4PY7Y77</t>
  </si>
  <si>
    <t>iShares High Yield</t>
  </si>
  <si>
    <t>Bond Fund</t>
  </si>
  <si>
    <t>IMSCF</t>
  </si>
  <si>
    <t>LU1134226536</t>
  </si>
  <si>
    <t>Morgan Stanley Short Duration High Yield</t>
  </si>
  <si>
    <t>Asia &amp; Pacific</t>
  </si>
  <si>
    <t>Japan</t>
  </si>
  <si>
    <t>Yen</t>
  </si>
  <si>
    <t>MOTTZ</t>
  </si>
  <si>
    <t>LU0654560100</t>
  </si>
  <si>
    <t>AB Short Duration High Yield</t>
  </si>
  <si>
    <t>EUEIC</t>
  </si>
  <si>
    <t>IE00B3VWN179</t>
  </si>
  <si>
    <t>Ishares Treasury Bond 1-3 year UCITS ETF</t>
  </si>
  <si>
    <t>AEUUU</t>
  </si>
  <si>
    <t>IE00BYXYYJ35</t>
  </si>
  <si>
    <t>ISHARES USD CORP BOND UCITS ETF ACCUM</t>
  </si>
  <si>
    <t>NUHGZ</t>
  </si>
  <si>
    <t>IE00BYXYYP94</t>
  </si>
  <si>
    <t>ISHARES USD SHORT DURATION CORP BOND UCITS</t>
  </si>
  <si>
    <t>AGACZ</t>
  </si>
  <si>
    <t>IE00BQSBJZ46</t>
  </si>
  <si>
    <t>Virus MultiSector Short Term Bond</t>
  </si>
  <si>
    <t>SCHHH</t>
  </si>
  <si>
    <t>IE00BFNWYB63</t>
  </si>
  <si>
    <t>Lord Abbet Short Duration Income</t>
  </si>
  <si>
    <t>Containers &amp; Packaging</t>
  </si>
  <si>
    <t>Materials</t>
  </si>
  <si>
    <t>Equity Fund</t>
  </si>
  <si>
    <t>Equity</t>
  </si>
  <si>
    <t>SSDRF</t>
  </si>
  <si>
    <t>LU0426422076</t>
  </si>
  <si>
    <t>Ninety One Global Franchise CL I</t>
  </si>
  <si>
    <t>Europe</t>
  </si>
  <si>
    <t>Spain</t>
  </si>
  <si>
    <t>Euro</t>
  </si>
  <si>
    <t>TIESI</t>
  </si>
  <si>
    <t>LU0119620176</t>
  </si>
  <si>
    <t>Morgan Stanley Global Brands CL I</t>
  </si>
  <si>
    <t>Construction Materials</t>
  </si>
  <si>
    <t>Germany</t>
  </si>
  <si>
    <t>Equity ETF</t>
  </si>
  <si>
    <t>MFMER</t>
  </si>
  <si>
    <t>IE00B3YLTY66</t>
  </si>
  <si>
    <t>SPDR ACWI IMI</t>
  </si>
  <si>
    <t>Chemicals</t>
  </si>
  <si>
    <t>JPMMZ</t>
  </si>
  <si>
    <t>IE00BQSBKL72</t>
  </si>
  <si>
    <t xml:space="preserve">Virtus US Small Cap Focus </t>
  </si>
  <si>
    <t>Oil, Gas &amp; Consumable Fuels</t>
  </si>
  <si>
    <t>Energy</t>
  </si>
  <si>
    <t>LOMIZ</t>
  </si>
  <si>
    <t>IE00B5BMR087</t>
  </si>
  <si>
    <t>iShares Core S&amp;P 500 UCITS ETF USD</t>
  </si>
  <si>
    <t>Energy Equipment &amp; Services</t>
  </si>
  <si>
    <t>CSTNL</t>
  </si>
  <si>
    <t>US92189F6438</t>
  </si>
  <si>
    <t>Vaneck Wide Moat ETF</t>
  </si>
  <si>
    <t>CouponRate</t>
  </si>
  <si>
    <t>UnderlyingSecurityID</t>
  </si>
  <si>
    <t>OptionStrike</t>
  </si>
  <si>
    <t>MaturityDate</t>
  </si>
  <si>
    <t>FrequencyMonths</t>
  </si>
  <si>
    <t>OptionType</t>
  </si>
  <si>
    <t>Industry</t>
  </si>
  <si>
    <t>Sector</t>
  </si>
  <si>
    <t>Region</t>
  </si>
  <si>
    <t>Country</t>
  </si>
  <si>
    <t>Currency</t>
  </si>
  <si>
    <t>LastPriceDate</t>
  </si>
  <si>
    <t>LastPrice</t>
  </si>
  <si>
    <t>AssetType</t>
  </si>
  <si>
    <t>AssetClass</t>
  </si>
  <si>
    <t>ExpectedReturn</t>
  </si>
  <si>
    <t>Weight</t>
  </si>
  <si>
    <t>MarketValueUSD</t>
  </si>
  <si>
    <t>Quantity</t>
  </si>
  <si>
    <t>Ticker</t>
  </si>
  <si>
    <t>CUSIP</t>
  </si>
  <si>
    <t>ISIN</t>
  </si>
  <si>
    <t>SecurityName</t>
  </si>
  <si>
    <t>pos_id</t>
  </si>
  <si>
    <t>SecurityID</t>
  </si>
  <si>
    <t>T10000872</t>
  </si>
  <si>
    <t>T10000106</t>
  </si>
  <si>
    <t>T10000873</t>
  </si>
  <si>
    <t>T10000874</t>
  </si>
  <si>
    <t>T10000875</t>
  </si>
  <si>
    <t>T10000876</t>
  </si>
  <si>
    <t>T10000877</t>
  </si>
  <si>
    <t>T10000878</t>
  </si>
  <si>
    <t>T10000879</t>
  </si>
  <si>
    <t>T10000880</t>
  </si>
  <si>
    <t>T10000881</t>
  </si>
  <si>
    <t>T10000882</t>
  </si>
  <si>
    <t>T10000883</t>
  </si>
  <si>
    <t>T10000884</t>
  </si>
  <si>
    <t>T10000912</t>
  </si>
  <si>
    <t>T10000913</t>
  </si>
  <si>
    <t>T10000916</t>
  </si>
  <si>
    <t>T10000914</t>
  </si>
  <si>
    <t>T10000915</t>
  </si>
  <si>
    <t>T10000885</t>
  </si>
  <si>
    <t>Test Security</t>
  </si>
  <si>
    <t>TEST12345</t>
  </si>
  <si>
    <t>12345t</t>
  </si>
  <si>
    <t>TEST</t>
  </si>
  <si>
    <t>SEDOL</t>
  </si>
  <si>
    <t>Source</t>
  </si>
  <si>
    <t>PriceSource</t>
  </si>
  <si>
    <t>YF_ID</t>
  </si>
  <si>
    <t>from_date</t>
  </si>
  <si>
    <t>to_date</t>
  </si>
  <si>
    <t>length</t>
  </si>
  <si>
    <t>IMID.L</t>
  </si>
  <si>
    <t>LQDA</t>
  </si>
  <si>
    <t>CBU3</t>
  </si>
  <si>
    <t>SHYU</t>
  </si>
  <si>
    <t>CASH USD</t>
  </si>
  <si>
    <t>BRED</t>
  </si>
  <si>
    <t>BREIT</t>
  </si>
  <si>
    <t>MOAT</t>
  </si>
  <si>
    <t>ISVQF</t>
  </si>
  <si>
    <t>G4955H110</t>
  </si>
  <si>
    <t>ISHARES CORE S&amp;P 500 UCITS ETF</t>
  </si>
  <si>
    <t>FT PortfolioA</t>
  </si>
  <si>
    <t>YF</t>
  </si>
  <si>
    <t>CSSPX.SW</t>
  </si>
  <si>
    <t>Dolar</t>
  </si>
  <si>
    <t>SPX</t>
  </si>
  <si>
    <t>Put</t>
  </si>
  <si>
    <t>Option</t>
  </si>
  <si>
    <t>Derivative</t>
  </si>
  <si>
    <t>OTCEEPAYF</t>
  </si>
  <si>
    <t>S&amp;P500 INDEX OTC EUROPEAN PUT OPTION 07/28/2023 @4060.0 USD JPMC DEA</t>
  </si>
  <si>
    <t>Open-End Fund</t>
  </si>
  <si>
    <t>9EI00E6X4</t>
  </si>
  <si>
    <t>IE00B6TYHG95</t>
  </si>
  <si>
    <t>EURO</t>
  </si>
  <si>
    <t>WELLINGTON STRATEGIC EUROPEAN EQUITY PORTFOLIO S EUR ACC</t>
  </si>
  <si>
    <t>LU1460673368</t>
  </si>
  <si>
    <t>GS STRATEGIC FACTOR ALLOCATION PORTFOLIO CLASS I SHARES (ACC)</t>
  </si>
  <si>
    <t>CA8849037095</t>
  </si>
  <si>
    <t>Thomson Reuters Corp</t>
  </si>
  <si>
    <t>US4642876555</t>
  </si>
  <si>
    <t>ISHARES RUSSELL 2000 ETF</t>
  </si>
  <si>
    <t>Structured Note</t>
  </si>
  <si>
    <t>US40438CR293</t>
  </si>
  <si>
    <t>HSBC USA INC. LINKED TO S&amp;P 500 INDEX BUFFERED CAPPED BETA, 3824.68 STRUCTURED NOTE DUE 03/22/2023 CPN 0.0000000000 DUE 20230322</t>
  </si>
  <si>
    <t>G4955M838</t>
  </si>
  <si>
    <t>IE00BYXYYN70</t>
  </si>
  <si>
    <t>ISHARES US MBS UCITS ETF USD ACC ETF</t>
  </si>
  <si>
    <t>91282CEM9</t>
  </si>
  <si>
    <t>US91282CEM91</t>
  </si>
  <si>
    <t>2.875 US Tr Nts 29</t>
  </si>
  <si>
    <t>LU1717117896</t>
  </si>
  <si>
    <t>VO24HGH LX Equity</t>
  </si>
  <si>
    <t>Option Strike</t>
  </si>
  <si>
    <t>Underlying Security ID</t>
  </si>
  <si>
    <t>Option Type</t>
  </si>
  <si>
    <t>Maturity Date</t>
  </si>
  <si>
    <t>Coupon Rate</t>
  </si>
  <si>
    <t>Frequency Months</t>
  </si>
  <si>
    <t>Asset Type</t>
  </si>
  <si>
    <t>Asset Class</t>
  </si>
  <si>
    <t xml:space="preserve"> Market Value USD </t>
  </si>
  <si>
    <t>Last Price Date</t>
  </si>
  <si>
    <t xml:space="preserve">Last Price </t>
  </si>
  <si>
    <t xml:space="preserve"> Quantity</t>
  </si>
  <si>
    <t>Security Name</t>
  </si>
  <si>
    <t>Date</t>
  </si>
  <si>
    <t>DELTA</t>
  </si>
  <si>
    <t>Category</t>
  </si>
  <si>
    <t>RF_ID</t>
  </si>
  <si>
    <t>DELTA VaR</t>
  </si>
  <si>
    <t>STD</t>
  </si>
  <si>
    <t>Marginal_STD</t>
  </si>
  <si>
    <t>VaR</t>
  </si>
  <si>
    <t>tVaR</t>
  </si>
  <si>
    <t>Marginal_VaR</t>
  </si>
  <si>
    <t>Marginal_tVaR</t>
  </si>
  <si>
    <t>DELTA2</t>
  </si>
  <si>
    <t>1D</t>
  </si>
  <si>
    <t>1W</t>
  </si>
  <si>
    <t>1M</t>
  </si>
  <si>
    <t>YTD</t>
  </si>
  <si>
    <t>1Y</t>
  </si>
  <si>
    <t>Class</t>
  </si>
  <si>
    <t>SC1</t>
  </si>
  <si>
    <t>SC2</t>
  </si>
  <si>
    <t>US Equity</t>
  </si>
  <si>
    <t>European Equity</t>
  </si>
  <si>
    <t>Short Bond</t>
  </si>
  <si>
    <t>Volatility</t>
  </si>
  <si>
    <t>Marginal_Vol</t>
  </si>
  <si>
    <t>VaR%</t>
  </si>
  <si>
    <t>mgVaR%</t>
  </si>
  <si>
    <t>VaR Contribution</t>
  </si>
  <si>
    <t>SR Vol</t>
  </si>
  <si>
    <t>Long Bond</t>
  </si>
  <si>
    <t>MarketValue</t>
  </si>
  <si>
    <t>tVaR%</t>
  </si>
  <si>
    <t>SR VaR</t>
  </si>
  <si>
    <t>SR tVaR</t>
  </si>
  <si>
    <t>Type</t>
  </si>
  <si>
    <t>Vol_P</t>
  </si>
  <si>
    <t>VaR_P</t>
  </si>
  <si>
    <t>Exp Ret</t>
  </si>
  <si>
    <t>VaR_D</t>
  </si>
  <si>
    <t>Portfolio</t>
  </si>
  <si>
    <t>Duration</t>
  </si>
  <si>
    <t>Convexity</t>
  </si>
  <si>
    <t>SpreadDuration</t>
  </si>
  <si>
    <t>SpreadConvexity</t>
  </si>
  <si>
    <t>GAMMA</t>
  </si>
  <si>
    <t>VEGA</t>
  </si>
  <si>
    <t>IV</t>
  </si>
  <si>
    <t>mgtVaR%</t>
  </si>
  <si>
    <t>tVaR Contribution</t>
  </si>
  <si>
    <t>SR mVaR</t>
  </si>
  <si>
    <t>Return Contribution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</si>
</sst>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yyyy\-mm\-dd\ h:mm:ss"/>
    <numFmt numFmtId="166" formatCode="_(* #,##0_);_(* \(#,##0\);_(* &quot;-&quot;??_);_(@_)"/>
    <numFmt numFmtId="167" formatCode="_(* #,##0.0000_);_(* \(#,##0.00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10" fontId="1" fillId="2" borderId="0" xfId="3" applyNumberFormat="1" applyFill="1" applyAlignment="1">
      <alignment horizontal="left"/>
    </xf>
    <xf numFmtId="9" fontId="1" fillId="2" borderId="0" xfId="3" applyFill="1" applyAlignment="1">
      <alignment horizontal="left"/>
    </xf>
    <xf numFmtId="14" fontId="0" fillId="2" borderId="0" xfId="0" applyNumberForma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2" fillId="3" borderId="0" xfId="0" applyFont="1" applyFill="1" applyAlignment="1">
      <alignment horizontal="left"/>
    </xf>
    <xf numFmtId="0" fontId="2" fillId="3" borderId="0" xfId="0" applyFont="1" applyFill="1"/>
    <xf numFmtId="164" fontId="1" fillId="0" borderId="0" xfId="2" applyNumberFormat="1"/>
    <xf numFmtId="14" fontId="0" fillId="0" borderId="0" xfId="0" applyNumberFormat="1"/>
    <xf numFmtId="43" fontId="1" fillId="0" borderId="0" xfId="4"/>
    <xf numFmtId="10" fontId="1" fillId="0" borderId="0" xfId="2" applyNumberFormat="1"/>
    <xf numFmtId="165" fontId="0" fillId="0" borderId="0" xfId="0" applyNumberFormat="1"/>
    <xf numFmtId="2" fontId="0" fillId="0" borderId="0" xfId="0" applyNumberFormat="1"/>
    <xf numFmtId="10" fontId="0" fillId="0" borderId="0" xfId="2" applyNumberFormat="1" applyFont="1"/>
    <xf numFmtId="0" fontId="5" fillId="4" borderId="1" xfId="0" applyNumberFormat="1" applyFont="1" applyFill="1" applyBorder="1" applyAlignment="1">
      <alignment horizontal="center" vertical="top"/>
    </xf>
    <xf numFmtId="0" fontId="6" fillId="4" borderId="1" xfId="0" applyNumberFormat="1" applyFont="1" applyFill="1" applyBorder="1" applyAlignment="1">
      <alignment horizontal="center"/>
    </xf>
    <xf numFmtId="0" fontId="6" fillId="4" borderId="1" xfId="4" applyNumberFormat="1" applyFont="1" applyFill="1" applyBorder="1"/>
    <xf numFmtId="0" fontId="6" fillId="4" borderId="1" xfId="3" applyNumberFormat="1" applyFont="1" applyFill="1" applyBorder="1"/>
    <xf numFmtId="0" fontId="6" fillId="4" borderId="1" xfId="3" applyNumberFormat="1" applyFont="1" applyFill="1" applyBorder="1" applyAlignment="1">
      <alignment horizontal="left"/>
    </xf>
    <xf numFmtId="0" fontId="5" fillId="4" borderId="1" xfId="0" applyNumberFormat="1" applyFont="1" applyFill="1" applyBorder="1" applyAlignment="1">
      <alignment horizontal="left" vertical="top"/>
    </xf>
    <xf numFmtId="0" fontId="3" fillId="0" borderId="0" xfId="0" applyFont="1"/>
    <xf numFmtId="166" fontId="0" fillId="0" borderId="0" xfId="1" applyNumberFormat="1" applyFont="1"/>
    <xf numFmtId="166" fontId="0" fillId="0" borderId="0" xfId="0" applyNumberFormat="1"/>
    <xf numFmtId="167" fontId="0" fillId="0" borderId="0" xfId="0" applyNumberFormat="1"/>
    <xf numFmtId="9" fontId="0" fillId="0" borderId="0" xfId="2" applyFont="1"/>
    <xf numFmtId="44" fontId="0" fillId="0" borderId="0" xfId="5" applyFont="1"/>
    <xf numFmtId="9" fontId="3" fillId="0" borderId="0" xfId="2" applyFont="1"/>
    <xf numFmtId="0" fontId="3" fillId="0" borderId="0" xfId="0" applyFont="1" applyAlignment="1">
      <alignment horizontal="center"/>
    </xf>
    <xf numFmtId="9" fontId="3" fillId="0" borderId="0" xfId="2" applyFont="1" applyAlignment="1">
      <alignment horizontal="center"/>
    </xf>
    <xf numFmtId="10" fontId="3" fillId="0" borderId="0" xfId="2" applyNumberFormat="1" applyFont="1"/>
    <xf numFmtId="2" fontId="0" fillId="0" borderId="0" xfId="2" applyNumberFormat="1" applyFont="1"/>
    <xf numFmtId="10" fontId="0" fillId="0" borderId="0" xfId="0" applyNumberFormat="1"/>
  </cellXfs>
  <cellStyles count="6">
    <cellStyle name="Comma" xfId="1" builtinId="3"/>
    <cellStyle name="Comma 2" xfId="4"/>
    <cellStyle name="Currency" xfId="5" builtinId="4"/>
    <cellStyle name="Normal" xfId="0" builtinId="0"/>
    <cellStyle name="Percent" xfId="2" builtinId="5"/>
    <cellStyle name="Percent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11"/>
  <sheetViews>
    <sheetView tabSelected="1" workbookViewId="0">
      <selection activeCell="F20" sqref="F20"/>
    </sheetView>
  </sheetViews>
  <sheetFormatPr defaultColWidth="9.140625" defaultRowHeight="15" x14ac:dyDescent="0.25"/>
  <cols>
    <col min="1" max="1" width="33.28515625" style="1" customWidth="1"/>
    <col min="2" max="2" width="61" style="2" customWidth="1"/>
    <col min="3" max="16384" width="9.140625" style="1"/>
  </cols>
  <sheetData>
    <row r="1" spans="1:2" x14ac:dyDescent="0.25">
      <c r="A1" s="9" t="s">
        <v>17</v>
      </c>
      <c r="B1" s="8" t="s">
        <v>16</v>
      </c>
    </row>
    <row r="2" spans="1:2" x14ac:dyDescent="0.25">
      <c r="A2" s="7" t="s">
        <v>15</v>
      </c>
      <c r="B2" s="6" t="s">
        <v>14</v>
      </c>
    </row>
    <row r="3" spans="1:2" x14ac:dyDescent="0.25">
      <c r="A3" s="7" t="s">
        <v>13</v>
      </c>
      <c r="B3" s="6" t="s">
        <v>12</v>
      </c>
    </row>
    <row r="4" spans="1:2" x14ac:dyDescent="0.25">
      <c r="A4" s="7" t="s">
        <v>11</v>
      </c>
      <c r="B4" s="6" t="s">
        <v>10</v>
      </c>
    </row>
    <row r="5" spans="1:2" x14ac:dyDescent="0.25">
      <c r="A5" s="1" t="s">
        <v>9</v>
      </c>
      <c r="B5" s="5">
        <v>45107</v>
      </c>
    </row>
    <row r="6" spans="1:2" x14ac:dyDescent="0.25">
      <c r="A6" s="1" t="s">
        <v>8</v>
      </c>
      <c r="B6" s="5" t="s">
        <v>7</v>
      </c>
    </row>
    <row r="7" spans="1:2" x14ac:dyDescent="0.25">
      <c r="A7" s="1" t="s">
        <v>6</v>
      </c>
      <c r="B7" s="4">
        <v>0.95</v>
      </c>
    </row>
    <row r="8" spans="1:2" x14ac:dyDescent="0.25">
      <c r="A8" s="1" t="s">
        <v>5</v>
      </c>
      <c r="B8" t="s">
        <v>4</v>
      </c>
    </row>
    <row r="9" spans="1:2" x14ac:dyDescent="0.25">
      <c r="A9" s="1" t="s">
        <v>3</v>
      </c>
      <c r="B9" s="3">
        <v>4.8799999999999899E-2</v>
      </c>
    </row>
    <row r="10" spans="1:2" x14ac:dyDescent="0.25">
      <c r="A10" s="1" t="s">
        <v>2</v>
      </c>
      <c r="B10" s="2" t="s">
        <v>1</v>
      </c>
    </row>
    <row r="11" spans="1:2" x14ac:dyDescent="0.25">
      <c r="A11" s="1" t="s">
        <v>0</v>
      </c>
      <c r="B11" s="2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Z211"/>
  <sheetViews>
    <sheetView workbookViewId="0">
      <selection activeCell="F2" sqref="F2"/>
    </sheetView>
  </sheetViews>
  <sheetFormatPr defaultColWidth="9.140625" defaultRowHeight="15" x14ac:dyDescent="0.25"/>
  <cols>
    <col min="1" max="1" width="49.42578125" customWidth="1"/>
    <col min="2" max="2" width="17" customWidth="1"/>
    <col min="3" max="3" width="12.5703125" customWidth="1"/>
    <col min="4" max="4" width="12.42578125" style="13" customWidth="1"/>
    <col min="5" max="5" width="18" style="12" bestFit="1" customWidth="1"/>
    <col min="6" max="6" width="18.7109375" customWidth="1"/>
    <col min="7" max="7" width="13.7109375" style="13" customWidth="1"/>
    <col min="8" max="8" width="18.5703125" style="10" customWidth="1"/>
    <col min="9" max="9" width="15" style="12" customWidth="1"/>
    <col min="10" max="10" width="13.28515625" style="11" customWidth="1"/>
    <col min="11" max="11" width="16.5703125" style="12" customWidth="1"/>
    <col min="12" max="12" width="16.85546875" style="11" customWidth="1"/>
    <col min="13" max="16" width="15.5703125" style="12" customWidth="1"/>
    <col min="17" max="17" width="34.28515625" style="12" customWidth="1"/>
    <col min="18" max="18" width="15.28515625" bestFit="1" customWidth="1"/>
    <col min="19" max="19" width="17.42578125" style="11" bestFit="1" customWidth="1"/>
    <col min="20" max="20" width="18.42578125" customWidth="1"/>
    <col min="21" max="21" width="20.140625" bestFit="1" customWidth="1"/>
    <col min="22" max="22" width="28" customWidth="1"/>
    <col min="23" max="23" width="20.140625" bestFit="1" customWidth="1"/>
    <col min="24" max="24" width="11.85546875" bestFit="1" customWidth="1"/>
    <col min="25" max="25" width="12.5703125" customWidth="1"/>
    <col min="26" max="26" width="10.42578125" customWidth="1"/>
  </cols>
  <sheetData>
    <row r="1" spans="1:26" ht="15.75" x14ac:dyDescent="0.25">
      <c r="A1" s="22" t="s">
        <v>130</v>
      </c>
      <c r="B1" s="22" t="s">
        <v>129</v>
      </c>
      <c r="C1" s="22" t="s">
        <v>128</v>
      </c>
      <c r="D1" s="21" t="s">
        <v>127</v>
      </c>
      <c r="E1" s="19" t="s">
        <v>126</v>
      </c>
      <c r="F1" s="17" t="s">
        <v>250</v>
      </c>
      <c r="G1" s="20" t="s">
        <v>124</v>
      </c>
      <c r="H1" s="20" t="s">
        <v>123</v>
      </c>
      <c r="I1" s="19" t="s">
        <v>122</v>
      </c>
      <c r="J1" s="17" t="s">
        <v>121</v>
      </c>
      <c r="K1" s="19" t="s">
        <v>120</v>
      </c>
      <c r="L1" s="17" t="s">
        <v>119</v>
      </c>
      <c r="M1" s="19" t="s">
        <v>118</v>
      </c>
      <c r="N1" s="19" t="s">
        <v>117</v>
      </c>
      <c r="O1" s="19" t="s">
        <v>116</v>
      </c>
      <c r="P1" s="19" t="s">
        <v>115</v>
      </c>
      <c r="Q1" s="19" t="s">
        <v>114</v>
      </c>
      <c r="R1" s="18" t="s">
        <v>113</v>
      </c>
      <c r="S1" s="17" t="s">
        <v>112</v>
      </c>
      <c r="T1" s="17" t="s">
        <v>111</v>
      </c>
      <c r="U1" s="17" t="s">
        <v>110</v>
      </c>
      <c r="V1" s="17" t="s">
        <v>109</v>
      </c>
      <c r="W1" s="17" t="s">
        <v>108</v>
      </c>
      <c r="X1" s="17" t="s">
        <v>237</v>
      </c>
      <c r="Y1" s="17" t="s">
        <v>238</v>
      </c>
      <c r="Z1" s="17" t="s">
        <v>239</v>
      </c>
    </row>
    <row r="2" spans="1:26" x14ac:dyDescent="0.25">
      <c r="A2" t="s">
        <v>107</v>
      </c>
      <c r="B2" t="s">
        <v>106</v>
      </c>
      <c r="D2" t="s">
        <v>105</v>
      </c>
      <c r="E2">
        <v>3133.2246789252599</v>
      </c>
      <c r="F2">
        <v>250000</v>
      </c>
      <c r="G2" s="16">
        <v>2.5000000000000001E-2</v>
      </c>
      <c r="H2" s="16">
        <v>4.3999999999999997E-2</v>
      </c>
      <c r="I2" t="s">
        <v>79</v>
      </c>
      <c r="J2" t="s">
        <v>91</v>
      </c>
      <c r="K2" s="15">
        <v>79.790000915527301</v>
      </c>
      <c r="L2" s="11">
        <v>45107</v>
      </c>
      <c r="M2" t="s">
        <v>22</v>
      </c>
      <c r="N2" t="s">
        <v>21</v>
      </c>
      <c r="O2" t="s">
        <v>20</v>
      </c>
      <c r="P2" t="s">
        <v>100</v>
      </c>
      <c r="Q2" t="s">
        <v>104</v>
      </c>
      <c r="S2"/>
      <c r="X2" t="s">
        <v>79</v>
      </c>
      <c r="Y2" t="s">
        <v>91</v>
      </c>
      <c r="Z2" t="s">
        <v>240</v>
      </c>
    </row>
    <row r="3" spans="1:26" x14ac:dyDescent="0.25">
      <c r="A3" t="s">
        <v>103</v>
      </c>
      <c r="B3" t="s">
        <v>102</v>
      </c>
      <c r="D3" t="s">
        <v>101</v>
      </c>
      <c r="E3">
        <v>540.13178503466997</v>
      </c>
      <c r="F3">
        <v>250000</v>
      </c>
      <c r="G3" s="16">
        <v>2.5000000000000001E-2</v>
      </c>
      <c r="H3" s="16">
        <v>4.3999999999999997E-2</v>
      </c>
      <c r="I3" t="s">
        <v>79</v>
      </c>
      <c r="J3" t="s">
        <v>91</v>
      </c>
      <c r="K3" s="15">
        <v>462.850006103515</v>
      </c>
      <c r="L3" s="11">
        <v>45107</v>
      </c>
      <c r="M3" t="s">
        <v>22</v>
      </c>
      <c r="N3" t="s">
        <v>21</v>
      </c>
      <c r="O3" t="s">
        <v>20</v>
      </c>
      <c r="P3" t="s">
        <v>100</v>
      </c>
      <c r="Q3" t="s">
        <v>99</v>
      </c>
      <c r="S3"/>
      <c r="X3" t="s">
        <v>79</v>
      </c>
      <c r="Y3" t="s">
        <v>91</v>
      </c>
      <c r="Z3" t="s">
        <v>240</v>
      </c>
    </row>
    <row r="4" spans="1:26" x14ac:dyDescent="0.25">
      <c r="A4" t="s">
        <v>98</v>
      </c>
      <c r="B4" t="s">
        <v>97</v>
      </c>
      <c r="D4" t="s">
        <v>96</v>
      </c>
      <c r="E4">
        <v>7616.1461636253698</v>
      </c>
      <c r="F4">
        <v>200000</v>
      </c>
      <c r="G4" s="16">
        <v>0.02</v>
      </c>
      <c r="H4" s="16">
        <v>6.0499999999999998E-2</v>
      </c>
      <c r="I4" t="s">
        <v>79</v>
      </c>
      <c r="J4" t="s">
        <v>78</v>
      </c>
      <c r="K4" s="15">
        <v>26.2600002288818</v>
      </c>
      <c r="L4" s="11">
        <v>45107</v>
      </c>
      <c r="M4" t="s">
        <v>22</v>
      </c>
      <c r="N4" t="s">
        <v>21</v>
      </c>
      <c r="O4" t="s">
        <v>20</v>
      </c>
      <c r="P4" t="s">
        <v>77</v>
      </c>
      <c r="Q4" t="s">
        <v>95</v>
      </c>
      <c r="S4"/>
      <c r="X4" t="s">
        <v>79</v>
      </c>
      <c r="Y4" t="s">
        <v>78</v>
      </c>
      <c r="Z4" t="s">
        <v>240</v>
      </c>
    </row>
    <row r="5" spans="1:26" x14ac:dyDescent="0.25">
      <c r="A5" t="s">
        <v>94</v>
      </c>
      <c r="B5" t="s">
        <v>93</v>
      </c>
      <c r="D5" t="s">
        <v>92</v>
      </c>
      <c r="E5">
        <v>1137.3976579007799</v>
      </c>
      <c r="F5">
        <v>200000</v>
      </c>
      <c r="G5" s="16">
        <v>0.02</v>
      </c>
      <c r="H5" s="16">
        <v>5.1999999999999998E-2</v>
      </c>
      <c r="I5" t="s">
        <v>79</v>
      </c>
      <c r="J5" t="s">
        <v>91</v>
      </c>
      <c r="K5" s="15">
        <v>175.83999633789</v>
      </c>
      <c r="L5" s="11">
        <v>45107</v>
      </c>
      <c r="M5" t="s">
        <v>85</v>
      </c>
      <c r="N5" t="s">
        <v>90</v>
      </c>
      <c r="O5" t="s">
        <v>83</v>
      </c>
      <c r="P5" t="s">
        <v>77</v>
      </c>
      <c r="Q5" t="s">
        <v>89</v>
      </c>
      <c r="S5"/>
      <c r="X5" t="s">
        <v>79</v>
      </c>
      <c r="Y5" t="s">
        <v>91</v>
      </c>
      <c r="Z5" t="s">
        <v>240</v>
      </c>
    </row>
    <row r="6" spans="1:26" x14ac:dyDescent="0.25">
      <c r="A6" t="s">
        <v>88</v>
      </c>
      <c r="B6" t="s">
        <v>87</v>
      </c>
      <c r="D6" t="s">
        <v>86</v>
      </c>
      <c r="E6">
        <v>858.36909871244598</v>
      </c>
      <c r="F6">
        <v>200000</v>
      </c>
      <c r="G6" s="16">
        <v>0.02</v>
      </c>
      <c r="H6" s="16">
        <v>5.1999999999999998E-2</v>
      </c>
      <c r="I6" t="s">
        <v>79</v>
      </c>
      <c r="J6" t="s">
        <v>78</v>
      </c>
      <c r="K6" s="15">
        <v>233</v>
      </c>
      <c r="L6" s="11">
        <v>45107</v>
      </c>
      <c r="M6" t="s">
        <v>85</v>
      </c>
      <c r="N6" t="s">
        <v>84</v>
      </c>
      <c r="O6" t="s">
        <v>83</v>
      </c>
      <c r="P6" t="s">
        <v>77</v>
      </c>
      <c r="Q6" t="s">
        <v>76</v>
      </c>
      <c r="S6"/>
      <c r="X6" t="s">
        <v>79</v>
      </c>
      <c r="Y6" t="s">
        <v>78</v>
      </c>
      <c r="Z6" t="s">
        <v>241</v>
      </c>
    </row>
    <row r="7" spans="1:26" x14ac:dyDescent="0.25">
      <c r="A7" t="s">
        <v>82</v>
      </c>
      <c r="B7" t="s">
        <v>81</v>
      </c>
      <c r="D7" t="s">
        <v>80</v>
      </c>
      <c r="E7">
        <v>2312.9409043598898</v>
      </c>
      <c r="F7">
        <v>200000</v>
      </c>
      <c r="G7" s="16">
        <v>0.02</v>
      </c>
      <c r="H7" s="16">
        <v>5.1999999999999998E-2</v>
      </c>
      <c r="I7" t="s">
        <v>79</v>
      </c>
      <c r="J7" t="s">
        <v>78</v>
      </c>
      <c r="K7" s="15">
        <v>86.47</v>
      </c>
      <c r="L7" s="11">
        <v>45107</v>
      </c>
      <c r="M7" t="s">
        <v>22</v>
      </c>
      <c r="N7" t="s">
        <v>21</v>
      </c>
      <c r="O7" t="s">
        <v>20</v>
      </c>
      <c r="P7" t="s">
        <v>77</v>
      </c>
      <c r="Q7" t="s">
        <v>76</v>
      </c>
      <c r="S7"/>
      <c r="X7" t="s">
        <v>79</v>
      </c>
      <c r="Y7" t="s">
        <v>78</v>
      </c>
      <c r="Z7" t="s">
        <v>241</v>
      </c>
    </row>
    <row r="8" spans="1:26" x14ac:dyDescent="0.25">
      <c r="A8" t="s">
        <v>75</v>
      </c>
      <c r="B8" t="s">
        <v>74</v>
      </c>
      <c r="D8" t="s">
        <v>73</v>
      </c>
      <c r="E8">
        <v>88809.944908793594</v>
      </c>
      <c r="F8">
        <v>1000000</v>
      </c>
      <c r="G8" s="16">
        <v>0.1</v>
      </c>
      <c r="H8" s="16">
        <v>4.8000000000000001E-2</v>
      </c>
      <c r="I8" t="s">
        <v>47</v>
      </c>
      <c r="J8" t="s">
        <v>51</v>
      </c>
      <c r="K8" s="15">
        <v>11.2600002288818</v>
      </c>
      <c r="L8" s="11">
        <v>45107</v>
      </c>
      <c r="M8" t="s">
        <v>22</v>
      </c>
      <c r="N8" t="s">
        <v>21</v>
      </c>
      <c r="O8" t="s">
        <v>20</v>
      </c>
      <c r="P8" t="s">
        <v>19</v>
      </c>
      <c r="Q8" t="s">
        <v>38</v>
      </c>
      <c r="S8"/>
      <c r="X8" t="s">
        <v>47</v>
      </c>
      <c r="Y8" t="s">
        <v>51</v>
      </c>
      <c r="Z8" t="s">
        <v>242</v>
      </c>
    </row>
    <row r="9" spans="1:26" x14ac:dyDescent="0.25">
      <c r="A9" t="s">
        <v>72</v>
      </c>
      <c r="B9" t="s">
        <v>71</v>
      </c>
      <c r="D9" t="s">
        <v>70</v>
      </c>
      <c r="E9">
        <v>86206.893716782695</v>
      </c>
      <c r="F9">
        <v>1000000</v>
      </c>
      <c r="G9" s="16">
        <v>0.1</v>
      </c>
      <c r="H9" s="16">
        <v>4.8000000000000001E-2</v>
      </c>
      <c r="I9" t="s">
        <v>47</v>
      </c>
      <c r="J9" t="s">
        <v>51</v>
      </c>
      <c r="K9" s="15">
        <v>11.6000003814697</v>
      </c>
      <c r="L9" s="11">
        <v>45107</v>
      </c>
      <c r="M9" t="s">
        <v>22</v>
      </c>
      <c r="N9" t="s">
        <v>21</v>
      </c>
      <c r="O9" t="s">
        <v>20</v>
      </c>
      <c r="P9" t="s">
        <v>19</v>
      </c>
      <c r="Q9" t="s">
        <v>34</v>
      </c>
      <c r="S9"/>
      <c r="X9" t="s">
        <v>47</v>
      </c>
      <c r="Y9" t="s">
        <v>51</v>
      </c>
      <c r="Z9" t="s">
        <v>249</v>
      </c>
    </row>
    <row r="10" spans="1:26" x14ac:dyDescent="0.25">
      <c r="A10" t="s">
        <v>69</v>
      </c>
      <c r="B10" t="s">
        <v>68</v>
      </c>
      <c r="D10" t="s">
        <v>67</v>
      </c>
      <c r="E10">
        <v>348061.85535851697</v>
      </c>
      <c r="F10">
        <v>1900000</v>
      </c>
      <c r="G10" s="16">
        <v>0.19</v>
      </c>
      <c r="H10" s="16">
        <v>4.8000000000000001E-2</v>
      </c>
      <c r="I10" t="s">
        <v>47</v>
      </c>
      <c r="J10" t="s">
        <v>46</v>
      </c>
      <c r="K10" s="15">
        <v>5.4587998390197701</v>
      </c>
      <c r="L10" s="11">
        <v>45107</v>
      </c>
      <c r="M10" t="s">
        <v>22</v>
      </c>
      <c r="N10" t="s">
        <v>21</v>
      </c>
      <c r="O10" t="s">
        <v>20</v>
      </c>
      <c r="P10" t="s">
        <v>19</v>
      </c>
      <c r="Q10" t="s">
        <v>18</v>
      </c>
      <c r="S10"/>
      <c r="X10" t="s">
        <v>47</v>
      </c>
      <c r="Y10" t="s">
        <v>46</v>
      </c>
      <c r="Z10" t="s">
        <v>249</v>
      </c>
    </row>
    <row r="11" spans="1:26" x14ac:dyDescent="0.25">
      <c r="A11" t="s">
        <v>66</v>
      </c>
      <c r="B11" t="s">
        <v>65</v>
      </c>
      <c r="D11" t="s">
        <v>64</v>
      </c>
      <c r="E11">
        <v>345140.77393311</v>
      </c>
      <c r="F11">
        <v>1900000</v>
      </c>
      <c r="G11" s="16">
        <v>0.19</v>
      </c>
      <c r="H11" s="16">
        <v>4.8000000000000001E-2</v>
      </c>
      <c r="I11" t="s">
        <v>47</v>
      </c>
      <c r="J11" t="s">
        <v>46</v>
      </c>
      <c r="K11" s="15">
        <v>5.50500011444091</v>
      </c>
      <c r="L11" s="11">
        <v>45107</v>
      </c>
      <c r="M11" t="s">
        <v>22</v>
      </c>
      <c r="N11" t="s">
        <v>21</v>
      </c>
      <c r="O11" t="s">
        <v>20</v>
      </c>
      <c r="P11" t="s">
        <v>19</v>
      </c>
      <c r="Q11" t="s">
        <v>38</v>
      </c>
      <c r="S11"/>
      <c r="X11" t="s">
        <v>47</v>
      </c>
      <c r="Y11" t="s">
        <v>46</v>
      </c>
      <c r="Z11" t="s">
        <v>242</v>
      </c>
    </row>
    <row r="12" spans="1:26" x14ac:dyDescent="0.25">
      <c r="A12" t="s">
        <v>63</v>
      </c>
      <c r="B12" t="s">
        <v>62</v>
      </c>
      <c r="D12" t="s">
        <v>61</v>
      </c>
      <c r="E12">
        <v>8154.0203850509597</v>
      </c>
      <c r="F12">
        <v>900000</v>
      </c>
      <c r="G12" s="16">
        <v>0.09</v>
      </c>
      <c r="H12" s="16">
        <v>4.8000000000000001E-2</v>
      </c>
      <c r="I12" t="s">
        <v>47</v>
      </c>
      <c r="J12" t="s">
        <v>46</v>
      </c>
      <c r="K12" s="15">
        <v>110.375</v>
      </c>
      <c r="L12" s="11">
        <v>45107</v>
      </c>
      <c r="M12" t="s">
        <v>57</v>
      </c>
      <c r="N12" t="s">
        <v>56</v>
      </c>
      <c r="O12" t="s">
        <v>55</v>
      </c>
      <c r="P12" t="s">
        <v>19</v>
      </c>
      <c r="Q12" t="s">
        <v>34</v>
      </c>
      <c r="S12"/>
      <c r="X12" t="s">
        <v>47</v>
      </c>
      <c r="Y12" t="s">
        <v>46</v>
      </c>
      <c r="Z12" t="s">
        <v>249</v>
      </c>
    </row>
    <row r="13" spans="1:26" x14ac:dyDescent="0.25">
      <c r="A13" t="s">
        <v>60</v>
      </c>
      <c r="B13" t="s">
        <v>59</v>
      </c>
      <c r="D13" t="s">
        <v>58</v>
      </c>
      <c r="E13">
        <v>8591.0652920962202</v>
      </c>
      <c r="F13">
        <v>200000</v>
      </c>
      <c r="G13" s="16">
        <v>0.02</v>
      </c>
      <c r="H13" s="16">
        <v>7.0999999999999994E-2</v>
      </c>
      <c r="I13" t="s">
        <v>47</v>
      </c>
      <c r="J13" t="s">
        <v>51</v>
      </c>
      <c r="K13" s="15">
        <v>23.28</v>
      </c>
      <c r="L13" s="11">
        <v>45107</v>
      </c>
      <c r="M13" t="s">
        <v>57</v>
      </c>
      <c r="N13" t="s">
        <v>56</v>
      </c>
      <c r="O13" t="s">
        <v>55</v>
      </c>
      <c r="P13" t="s">
        <v>19</v>
      </c>
      <c r="Q13" t="s">
        <v>18</v>
      </c>
      <c r="S13"/>
      <c r="X13" t="s">
        <v>47</v>
      </c>
      <c r="Y13" t="s">
        <v>51</v>
      </c>
      <c r="Z13" t="s">
        <v>242</v>
      </c>
    </row>
    <row r="14" spans="1:26" x14ac:dyDescent="0.25">
      <c r="A14" t="s">
        <v>54</v>
      </c>
      <c r="B14" t="s">
        <v>53</v>
      </c>
      <c r="D14" t="s">
        <v>52</v>
      </c>
      <c r="E14">
        <v>5643.3408577878099</v>
      </c>
      <c r="F14">
        <v>200000</v>
      </c>
      <c r="G14" s="16">
        <v>0.02</v>
      </c>
      <c r="H14" s="16">
        <v>7.0999999999999994E-2</v>
      </c>
      <c r="I14" t="s">
        <v>47</v>
      </c>
      <c r="J14" t="s">
        <v>51</v>
      </c>
      <c r="K14" s="15">
        <v>35.44</v>
      </c>
      <c r="L14" s="11">
        <v>45107</v>
      </c>
      <c r="M14" t="s">
        <v>22</v>
      </c>
      <c r="N14" t="s">
        <v>21</v>
      </c>
      <c r="O14" t="s">
        <v>20</v>
      </c>
      <c r="P14" t="s">
        <v>19</v>
      </c>
      <c r="Q14" t="s">
        <v>38</v>
      </c>
      <c r="S14"/>
      <c r="X14" t="s">
        <v>47</v>
      </c>
      <c r="Y14" t="s">
        <v>51</v>
      </c>
      <c r="Z14" t="s">
        <v>249</v>
      </c>
    </row>
    <row r="15" spans="1:26" x14ac:dyDescent="0.25">
      <c r="A15" t="s">
        <v>50</v>
      </c>
      <c r="B15" t="s">
        <v>49</v>
      </c>
      <c r="D15" t="s">
        <v>48</v>
      </c>
      <c r="E15">
        <v>2428.0683905682999</v>
      </c>
      <c r="F15">
        <v>200000</v>
      </c>
      <c r="G15" s="16">
        <v>0.02</v>
      </c>
      <c r="H15" s="16">
        <v>7.0999999999999994E-2</v>
      </c>
      <c r="I15" t="s">
        <v>47</v>
      </c>
      <c r="J15" t="s">
        <v>46</v>
      </c>
      <c r="K15" s="15">
        <v>82.370002746582003</v>
      </c>
      <c r="L15" s="11">
        <v>45107</v>
      </c>
      <c r="M15" t="s">
        <v>22</v>
      </c>
      <c r="N15" t="s">
        <v>21</v>
      </c>
      <c r="O15" t="s">
        <v>20</v>
      </c>
      <c r="P15" t="s">
        <v>19</v>
      </c>
      <c r="Q15" t="s">
        <v>34</v>
      </c>
      <c r="S15"/>
      <c r="X15" t="s">
        <v>47</v>
      </c>
      <c r="Y15" t="s">
        <v>46</v>
      </c>
      <c r="Z15" t="s">
        <v>249</v>
      </c>
    </row>
    <row r="16" spans="1:26" x14ac:dyDescent="0.25">
      <c r="A16" t="s">
        <v>45</v>
      </c>
      <c r="B16" t="s">
        <v>44</v>
      </c>
      <c r="C16" t="s">
        <v>44</v>
      </c>
      <c r="D16" t="s">
        <v>43</v>
      </c>
      <c r="E16">
        <v>72909.0415921229</v>
      </c>
      <c r="F16">
        <v>150000</v>
      </c>
      <c r="G16" s="16">
        <v>1.4999999999999999E-2</v>
      </c>
      <c r="H16" s="16">
        <v>0.05</v>
      </c>
      <c r="I16" t="s">
        <v>27</v>
      </c>
      <c r="J16" t="s">
        <v>39</v>
      </c>
      <c r="K16" s="15">
        <v>2.0573580001112699</v>
      </c>
      <c r="L16" s="11">
        <v>45107</v>
      </c>
      <c r="M16" t="s">
        <v>22</v>
      </c>
      <c r="N16" t="s">
        <v>21</v>
      </c>
      <c r="O16" t="s">
        <v>20</v>
      </c>
      <c r="P16" t="s">
        <v>19</v>
      </c>
      <c r="Q16" t="s">
        <v>18</v>
      </c>
      <c r="S16"/>
      <c r="X16" t="s">
        <v>27</v>
      </c>
      <c r="Y16" t="s">
        <v>39</v>
      </c>
      <c r="Z16" t="s">
        <v>39</v>
      </c>
    </row>
    <row r="17" spans="1:26" x14ac:dyDescent="0.25">
      <c r="A17" t="s">
        <v>42</v>
      </c>
      <c r="B17" t="s">
        <v>41</v>
      </c>
      <c r="C17" t="s">
        <v>41</v>
      </c>
      <c r="D17" t="s">
        <v>40</v>
      </c>
      <c r="E17">
        <v>93134.278359645105</v>
      </c>
      <c r="F17">
        <v>150000</v>
      </c>
      <c r="G17" s="16">
        <v>1.4999999999999999E-2</v>
      </c>
      <c r="H17" s="16">
        <v>0.05</v>
      </c>
      <c r="I17" t="s">
        <v>27</v>
      </c>
      <c r="J17" t="s">
        <v>39</v>
      </c>
      <c r="K17" s="15">
        <v>1.6105777877052201</v>
      </c>
      <c r="L17" s="11">
        <v>45107</v>
      </c>
      <c r="M17" t="s">
        <v>22</v>
      </c>
      <c r="N17" t="s">
        <v>21</v>
      </c>
      <c r="O17" t="s">
        <v>20</v>
      </c>
      <c r="P17" t="s">
        <v>19</v>
      </c>
      <c r="Q17" t="s">
        <v>38</v>
      </c>
      <c r="S17"/>
      <c r="X17" t="s">
        <v>27</v>
      </c>
      <c r="Y17" t="s">
        <v>39</v>
      </c>
      <c r="Z17" t="s">
        <v>39</v>
      </c>
    </row>
    <row r="18" spans="1:26" x14ac:dyDescent="0.25">
      <c r="A18" t="s">
        <v>37</v>
      </c>
      <c r="B18" t="s">
        <v>36</v>
      </c>
      <c r="C18" t="s">
        <v>36</v>
      </c>
      <c r="D18" t="s">
        <v>35</v>
      </c>
      <c r="E18">
        <v>164980.25120397101</v>
      </c>
      <c r="F18">
        <v>200000</v>
      </c>
      <c r="G18" s="16">
        <v>0.02</v>
      </c>
      <c r="H18" s="16">
        <v>9.2999999999999999E-2</v>
      </c>
      <c r="I18" t="s">
        <v>27</v>
      </c>
      <c r="J18" t="s">
        <v>26</v>
      </c>
      <c r="K18" s="15">
        <v>1.2122663078790701</v>
      </c>
      <c r="L18" s="11">
        <v>45107</v>
      </c>
      <c r="M18" t="s">
        <v>22</v>
      </c>
      <c r="N18" t="s">
        <v>21</v>
      </c>
      <c r="O18" t="s">
        <v>20</v>
      </c>
      <c r="P18" t="s">
        <v>19</v>
      </c>
      <c r="Q18" t="s">
        <v>34</v>
      </c>
      <c r="S18"/>
      <c r="X18" t="s">
        <v>27</v>
      </c>
      <c r="Y18" t="s">
        <v>26</v>
      </c>
      <c r="Z18" t="s">
        <v>26</v>
      </c>
    </row>
    <row r="19" spans="1:26" x14ac:dyDescent="0.25">
      <c r="A19" t="s">
        <v>33</v>
      </c>
      <c r="B19" t="s">
        <v>32</v>
      </c>
      <c r="C19" t="s">
        <v>32</v>
      </c>
      <c r="D19" t="s">
        <v>31</v>
      </c>
      <c r="E19">
        <v>173246.43870251501</v>
      </c>
      <c r="F19">
        <v>200000</v>
      </c>
      <c r="G19" s="16">
        <v>0.02</v>
      </c>
      <c r="H19" s="16">
        <v>9.2999999999999999E-2</v>
      </c>
      <c r="I19" t="s">
        <v>27</v>
      </c>
      <c r="J19" t="s">
        <v>26</v>
      </c>
      <c r="K19" s="15">
        <v>1.1544248845623999</v>
      </c>
      <c r="L19" s="11">
        <v>45107</v>
      </c>
      <c r="M19" t="s">
        <v>22</v>
      </c>
      <c r="N19" t="s">
        <v>21</v>
      </c>
      <c r="O19" t="s">
        <v>20</v>
      </c>
      <c r="P19" t="s">
        <v>19</v>
      </c>
      <c r="Q19" t="s">
        <v>18</v>
      </c>
      <c r="S19"/>
      <c r="X19" t="s">
        <v>27</v>
      </c>
      <c r="Y19" t="s">
        <v>26</v>
      </c>
      <c r="Z19" t="s">
        <v>26</v>
      </c>
    </row>
    <row r="20" spans="1:26" x14ac:dyDescent="0.25">
      <c r="A20" t="s">
        <v>30</v>
      </c>
      <c r="B20" t="s">
        <v>29</v>
      </c>
      <c r="C20" t="s">
        <v>29</v>
      </c>
      <c r="D20" t="s">
        <v>28</v>
      </c>
      <c r="E20">
        <v>200000</v>
      </c>
      <c r="F20">
        <v>200000</v>
      </c>
      <c r="G20" s="16">
        <v>0.02</v>
      </c>
      <c r="H20" s="16">
        <v>9.2999999999999999E-2</v>
      </c>
      <c r="I20" t="s">
        <v>27</v>
      </c>
      <c r="J20" t="s">
        <v>26</v>
      </c>
      <c r="K20" s="15">
        <v>1</v>
      </c>
      <c r="L20" s="11">
        <v>45107</v>
      </c>
      <c r="M20" t="s">
        <v>22</v>
      </c>
      <c r="N20" t="s">
        <v>21</v>
      </c>
      <c r="O20" t="s">
        <v>20</v>
      </c>
      <c r="P20" t="s">
        <v>19</v>
      </c>
      <c r="Q20" t="s">
        <v>18</v>
      </c>
      <c r="S20"/>
      <c r="X20" t="s">
        <v>27</v>
      </c>
      <c r="Y20" t="s">
        <v>26</v>
      </c>
      <c r="Z20" t="s">
        <v>26</v>
      </c>
    </row>
    <row r="21" spans="1:26" x14ac:dyDescent="0.25">
      <c r="A21" t="s">
        <v>153</v>
      </c>
      <c r="B21" t="s">
        <v>154</v>
      </c>
      <c r="C21" t="s">
        <v>155</v>
      </c>
      <c r="D21" t="s">
        <v>156</v>
      </c>
      <c r="E21">
        <v>2000</v>
      </c>
      <c r="F21">
        <v>50000</v>
      </c>
      <c r="G21" s="16">
        <v>0</v>
      </c>
      <c r="H21" s="16">
        <v>0.09</v>
      </c>
      <c r="I21" t="s">
        <v>27</v>
      </c>
      <c r="J21" t="s">
        <v>26</v>
      </c>
      <c r="K21" s="15">
        <v>1</v>
      </c>
      <c r="L21" s="11">
        <v>45107</v>
      </c>
      <c r="M21" t="s">
        <v>22</v>
      </c>
      <c r="N21" t="s">
        <v>21</v>
      </c>
      <c r="O21" t="s">
        <v>20</v>
      </c>
      <c r="P21" t="s">
        <v>19</v>
      </c>
      <c r="Q21" t="s">
        <v>18</v>
      </c>
      <c r="S21"/>
      <c r="X21" t="s">
        <v>27</v>
      </c>
      <c r="Y21" t="s">
        <v>26</v>
      </c>
      <c r="Z21" t="s">
        <v>26</v>
      </c>
    </row>
    <row r="22" spans="1:26" x14ac:dyDescent="0.25">
      <c r="A22" t="s">
        <v>23</v>
      </c>
      <c r="B22" t="s">
        <v>25</v>
      </c>
      <c r="D22" t="s">
        <v>24</v>
      </c>
      <c r="E22">
        <v>499999.99999999901</v>
      </c>
      <c r="F22">
        <v>499999.99999999901</v>
      </c>
      <c r="G22" s="16">
        <v>4.9999999999999899E-2</v>
      </c>
      <c r="H22" s="16">
        <v>3.6999999999999998E-2</v>
      </c>
      <c r="I22" t="s">
        <v>23</v>
      </c>
      <c r="J22" t="s">
        <v>23</v>
      </c>
      <c r="K22" s="15">
        <v>1</v>
      </c>
      <c r="L22" s="11">
        <v>45107</v>
      </c>
      <c r="M22" t="s">
        <v>22</v>
      </c>
      <c r="N22" t="s">
        <v>21</v>
      </c>
      <c r="O22" t="s">
        <v>20</v>
      </c>
      <c r="P22" t="s">
        <v>19</v>
      </c>
      <c r="Q22" t="s">
        <v>18</v>
      </c>
      <c r="S22"/>
      <c r="X22" t="s">
        <v>23</v>
      </c>
      <c r="Y22" t="s">
        <v>23</v>
      </c>
      <c r="Z22" t="s">
        <v>23</v>
      </c>
    </row>
    <row r="23" spans="1:26" x14ac:dyDescent="0.25">
      <c r="A23" s="11"/>
    </row>
    <row r="24" spans="1:26" x14ac:dyDescent="0.25">
      <c r="A24" s="11"/>
    </row>
    <row r="25" spans="1:26" x14ac:dyDescent="0.25">
      <c r="A25" s="11"/>
    </row>
    <row r="26" spans="1:26" x14ac:dyDescent="0.25">
      <c r="A26" s="11"/>
    </row>
    <row r="27" spans="1:26" x14ac:dyDescent="0.25">
      <c r="A27" s="11"/>
    </row>
    <row r="28" spans="1:26" x14ac:dyDescent="0.25">
      <c r="A28" s="11"/>
    </row>
    <row r="29" spans="1:26" x14ac:dyDescent="0.25">
      <c r="A29" s="11"/>
    </row>
    <row r="30" spans="1:26" x14ac:dyDescent="0.25">
      <c r="A30" s="11"/>
    </row>
    <row r="31" spans="1:26" x14ac:dyDescent="0.25">
      <c r="A31" s="11"/>
    </row>
    <row r="32" spans="1:26" x14ac:dyDescent="0.25">
      <c r="A32" s="11"/>
    </row>
    <row r="33" spans="1:1" x14ac:dyDescent="0.25">
      <c r="A33" s="11"/>
    </row>
    <row r="34" spans="1:1" x14ac:dyDescent="0.25">
      <c r="A34" s="11"/>
    </row>
    <row r="35" spans="1:1" x14ac:dyDescent="0.25">
      <c r="A35" s="11"/>
    </row>
    <row r="36" spans="1:1" x14ac:dyDescent="0.25">
      <c r="A36" s="11"/>
    </row>
    <row r="37" spans="1:1" x14ac:dyDescent="0.25">
      <c r="A37" s="11"/>
    </row>
    <row r="38" spans="1:1" x14ac:dyDescent="0.25">
      <c r="A38" s="11"/>
    </row>
    <row r="39" spans="1:1" x14ac:dyDescent="0.25">
      <c r="A39" s="11"/>
    </row>
    <row r="40" spans="1:1" x14ac:dyDescent="0.25">
      <c r="A40" s="11"/>
    </row>
    <row r="41" spans="1:1" x14ac:dyDescent="0.25">
      <c r="A41" s="11"/>
    </row>
    <row r="42" spans="1:1" x14ac:dyDescent="0.25">
      <c r="A42" s="11"/>
    </row>
    <row r="43" spans="1:1" x14ac:dyDescent="0.25">
      <c r="A43" s="11"/>
    </row>
    <row r="44" spans="1:1" x14ac:dyDescent="0.25">
      <c r="A44" s="11"/>
    </row>
    <row r="45" spans="1:1" x14ac:dyDescent="0.25">
      <c r="A45" s="11"/>
    </row>
    <row r="46" spans="1:1" x14ac:dyDescent="0.25">
      <c r="A46" s="11"/>
    </row>
    <row r="47" spans="1:1" x14ac:dyDescent="0.25">
      <c r="A47" s="11"/>
    </row>
    <row r="48" spans="1:1" x14ac:dyDescent="0.25">
      <c r="A48" s="11"/>
    </row>
    <row r="49" spans="1:6" x14ac:dyDescent="0.25">
      <c r="A49" s="11"/>
    </row>
    <row r="50" spans="1:6" x14ac:dyDescent="0.25">
      <c r="A50" s="11"/>
    </row>
    <row r="51" spans="1:6" x14ac:dyDescent="0.25">
      <c r="A51" s="11"/>
    </row>
    <row r="52" spans="1:6" x14ac:dyDescent="0.25">
      <c r="A52" s="11"/>
    </row>
    <row r="53" spans="1:6" x14ac:dyDescent="0.25">
      <c r="A53" s="11"/>
    </row>
    <row r="54" spans="1:6" x14ac:dyDescent="0.25">
      <c r="A54" s="11"/>
    </row>
    <row r="55" spans="1:6" x14ac:dyDescent="0.25">
      <c r="A55" s="11"/>
    </row>
    <row r="56" spans="1:6" x14ac:dyDescent="0.25">
      <c r="A56" s="11"/>
    </row>
    <row r="57" spans="1:6" x14ac:dyDescent="0.25">
      <c r="A57" s="11"/>
    </row>
    <row r="58" spans="1:6" x14ac:dyDescent="0.25">
      <c r="A58" s="11"/>
    </row>
    <row r="59" spans="1:6" x14ac:dyDescent="0.25">
      <c r="A59" s="11"/>
      <c r="F59" s="11"/>
    </row>
    <row r="60" spans="1:6" x14ac:dyDescent="0.25">
      <c r="A60" s="11"/>
      <c r="F60" s="11"/>
    </row>
    <row r="61" spans="1:6" x14ac:dyDescent="0.25">
      <c r="A61" s="11"/>
      <c r="F61" s="11"/>
    </row>
    <row r="62" spans="1:6" x14ac:dyDescent="0.25">
      <c r="A62" s="11"/>
    </row>
    <row r="63" spans="1:6" x14ac:dyDescent="0.25">
      <c r="A63" s="11"/>
      <c r="F63" s="11"/>
    </row>
    <row r="64" spans="1:6" x14ac:dyDescent="0.25">
      <c r="A64" s="11"/>
      <c r="F64" s="11"/>
    </row>
    <row r="65" spans="1:6" x14ac:dyDescent="0.25">
      <c r="A65" s="11"/>
    </row>
    <row r="66" spans="1:6" x14ac:dyDescent="0.25">
      <c r="A66" s="11"/>
      <c r="F66" s="11"/>
    </row>
    <row r="67" spans="1:6" x14ac:dyDescent="0.25">
      <c r="A67" s="11"/>
      <c r="F67" s="11"/>
    </row>
    <row r="68" spans="1:6" x14ac:dyDescent="0.25">
      <c r="A68" s="11"/>
      <c r="F68" s="11"/>
    </row>
    <row r="69" spans="1:6" x14ac:dyDescent="0.25">
      <c r="A69" s="11"/>
      <c r="F69" s="11"/>
    </row>
    <row r="70" spans="1:6" x14ac:dyDescent="0.25">
      <c r="A70" s="11"/>
    </row>
    <row r="71" spans="1:6" x14ac:dyDescent="0.25">
      <c r="A71" s="11"/>
      <c r="F71" s="11"/>
    </row>
    <row r="72" spans="1:6" x14ac:dyDescent="0.25">
      <c r="A72" s="11"/>
      <c r="F72" s="11"/>
    </row>
    <row r="73" spans="1:6" x14ac:dyDescent="0.25">
      <c r="A73" s="11"/>
      <c r="F73" s="11"/>
    </row>
    <row r="74" spans="1:6" x14ac:dyDescent="0.25">
      <c r="A74" s="11"/>
      <c r="F74" s="11"/>
    </row>
    <row r="75" spans="1:6" x14ac:dyDescent="0.25">
      <c r="A75" s="11"/>
      <c r="F75" s="11"/>
    </row>
    <row r="76" spans="1:6" x14ac:dyDescent="0.25">
      <c r="A76" s="11"/>
      <c r="F76" s="11"/>
    </row>
    <row r="77" spans="1:6" x14ac:dyDescent="0.25">
      <c r="A77" s="11"/>
      <c r="F77" s="11"/>
    </row>
    <row r="78" spans="1:6" x14ac:dyDescent="0.25">
      <c r="A78" s="11"/>
      <c r="F78" s="11"/>
    </row>
    <row r="79" spans="1:6" x14ac:dyDescent="0.25">
      <c r="A79" s="11"/>
      <c r="F79" s="11"/>
    </row>
    <row r="80" spans="1:6" x14ac:dyDescent="0.25">
      <c r="A80" s="11"/>
      <c r="F80" s="11"/>
    </row>
    <row r="81" spans="1:6" x14ac:dyDescent="0.25">
      <c r="A81" s="11"/>
      <c r="F81" s="11"/>
    </row>
    <row r="82" spans="1:6" x14ac:dyDescent="0.25">
      <c r="A82" s="11"/>
      <c r="F82" s="11"/>
    </row>
    <row r="83" spans="1:6" x14ac:dyDescent="0.25">
      <c r="A83" s="11"/>
      <c r="F83" s="11"/>
    </row>
    <row r="84" spans="1:6" x14ac:dyDescent="0.25">
      <c r="A84" s="11"/>
      <c r="F84" s="11"/>
    </row>
    <row r="85" spans="1:6" x14ac:dyDescent="0.25">
      <c r="A85" s="11"/>
      <c r="F85" s="11"/>
    </row>
    <row r="86" spans="1:6" x14ac:dyDescent="0.25">
      <c r="A86" s="11"/>
      <c r="F86" s="11"/>
    </row>
    <row r="87" spans="1:6" x14ac:dyDescent="0.25">
      <c r="A87" s="11"/>
      <c r="F87" s="11"/>
    </row>
    <row r="88" spans="1:6" x14ac:dyDescent="0.25">
      <c r="A88" s="11"/>
      <c r="F88" s="11"/>
    </row>
    <row r="89" spans="1:6" x14ac:dyDescent="0.25">
      <c r="A89" s="11"/>
      <c r="F89" s="11"/>
    </row>
    <row r="90" spans="1:6" x14ac:dyDescent="0.25">
      <c r="A90" s="11"/>
      <c r="F90" s="11"/>
    </row>
    <row r="91" spans="1:6" x14ac:dyDescent="0.25">
      <c r="A91" s="11"/>
      <c r="F91" s="11"/>
    </row>
    <row r="92" spans="1:6" x14ac:dyDescent="0.25">
      <c r="A92" s="11"/>
      <c r="F92" s="11"/>
    </row>
    <row r="93" spans="1:6" x14ac:dyDescent="0.25">
      <c r="A93" s="11"/>
      <c r="F93" s="11"/>
    </row>
    <row r="94" spans="1:6" x14ac:dyDescent="0.25">
      <c r="A94" s="11"/>
      <c r="F94" s="11"/>
    </row>
    <row r="95" spans="1:6" x14ac:dyDescent="0.25">
      <c r="A95" s="11"/>
      <c r="F95" s="11"/>
    </row>
    <row r="96" spans="1:6" x14ac:dyDescent="0.25">
      <c r="A96" s="11"/>
      <c r="F96" s="11"/>
    </row>
    <row r="97" spans="1:6" x14ac:dyDescent="0.25">
      <c r="A97" s="11"/>
      <c r="F97" s="11"/>
    </row>
    <row r="98" spans="1:6" x14ac:dyDescent="0.25">
      <c r="A98" s="11"/>
      <c r="F98" s="11"/>
    </row>
    <row r="99" spans="1:6" x14ac:dyDescent="0.25">
      <c r="A99" s="11"/>
      <c r="F99" s="11"/>
    </row>
    <row r="100" spans="1:6" x14ac:dyDescent="0.25">
      <c r="A100" s="11"/>
      <c r="F100" s="11"/>
    </row>
    <row r="101" spans="1:6" x14ac:dyDescent="0.25">
      <c r="A101" s="11"/>
      <c r="F101" s="11"/>
    </row>
    <row r="102" spans="1:6" x14ac:dyDescent="0.25">
      <c r="A102" s="11"/>
      <c r="F102" s="11"/>
    </row>
    <row r="103" spans="1:6" x14ac:dyDescent="0.25">
      <c r="A103" s="11"/>
      <c r="F103" s="11"/>
    </row>
    <row r="104" spans="1:6" x14ac:dyDescent="0.25">
      <c r="A104" s="11"/>
      <c r="F104" s="11"/>
    </row>
    <row r="105" spans="1:6" x14ac:dyDescent="0.25">
      <c r="A105" s="11"/>
      <c r="F105" s="11"/>
    </row>
    <row r="106" spans="1:6" x14ac:dyDescent="0.25">
      <c r="A106" s="11"/>
      <c r="F106" s="11"/>
    </row>
    <row r="107" spans="1:6" x14ac:dyDescent="0.25">
      <c r="A107" s="11"/>
      <c r="F107" s="11"/>
    </row>
    <row r="108" spans="1:6" x14ac:dyDescent="0.25">
      <c r="A108" s="11"/>
      <c r="F108" s="11"/>
    </row>
    <row r="109" spans="1:6" x14ac:dyDescent="0.25">
      <c r="A109" s="11"/>
      <c r="F109" s="11"/>
    </row>
    <row r="110" spans="1:6" x14ac:dyDescent="0.25">
      <c r="A110" s="11"/>
      <c r="F110" s="11"/>
    </row>
    <row r="111" spans="1:6" x14ac:dyDescent="0.25">
      <c r="A111" s="11"/>
      <c r="F111" s="11"/>
    </row>
    <row r="112" spans="1:6" x14ac:dyDescent="0.25">
      <c r="A112" s="11"/>
      <c r="F112" s="11"/>
    </row>
    <row r="113" spans="1:6" x14ac:dyDescent="0.25">
      <c r="A113" s="11"/>
      <c r="F113" s="11"/>
    </row>
    <row r="114" spans="1:6" x14ac:dyDescent="0.25">
      <c r="A114" s="11"/>
      <c r="F114" s="11"/>
    </row>
    <row r="115" spans="1:6" x14ac:dyDescent="0.25">
      <c r="A115" s="11"/>
      <c r="F115" s="11"/>
    </row>
    <row r="116" spans="1:6" x14ac:dyDescent="0.25">
      <c r="A116" s="11"/>
      <c r="F116" s="11"/>
    </row>
    <row r="117" spans="1:6" x14ac:dyDescent="0.25">
      <c r="A117" s="11"/>
      <c r="F117" s="11"/>
    </row>
    <row r="118" spans="1:6" x14ac:dyDescent="0.25">
      <c r="A118" s="11"/>
      <c r="F118" s="11"/>
    </row>
    <row r="119" spans="1:6" x14ac:dyDescent="0.25">
      <c r="A119" s="11"/>
      <c r="F119" s="11"/>
    </row>
    <row r="120" spans="1:6" x14ac:dyDescent="0.25">
      <c r="A120" s="11"/>
      <c r="F120" s="11"/>
    </row>
    <row r="121" spans="1:6" x14ac:dyDescent="0.25">
      <c r="A121" s="11"/>
      <c r="F121" s="11"/>
    </row>
    <row r="122" spans="1:6" x14ac:dyDescent="0.25">
      <c r="A122" s="11"/>
      <c r="F122" s="11"/>
    </row>
    <row r="123" spans="1:6" x14ac:dyDescent="0.25">
      <c r="A123" s="11"/>
      <c r="F123" s="11"/>
    </row>
    <row r="124" spans="1:6" x14ac:dyDescent="0.25">
      <c r="A124" s="11"/>
      <c r="F124" s="11"/>
    </row>
    <row r="125" spans="1:6" x14ac:dyDescent="0.25">
      <c r="A125" s="11"/>
      <c r="F125" s="11"/>
    </row>
    <row r="126" spans="1:6" x14ac:dyDescent="0.25">
      <c r="A126" s="11"/>
      <c r="F126" s="11"/>
    </row>
    <row r="127" spans="1:6" x14ac:dyDescent="0.25">
      <c r="A127" s="11"/>
      <c r="F127" s="11"/>
    </row>
    <row r="128" spans="1:6" x14ac:dyDescent="0.25">
      <c r="A128" s="11"/>
      <c r="F128" s="11"/>
    </row>
    <row r="129" spans="1:6" x14ac:dyDescent="0.25">
      <c r="A129" s="11"/>
      <c r="F129" s="11"/>
    </row>
    <row r="130" spans="1:6" x14ac:dyDescent="0.25">
      <c r="A130" s="11"/>
      <c r="F130" s="11"/>
    </row>
    <row r="131" spans="1:6" x14ac:dyDescent="0.25">
      <c r="A131" s="11"/>
      <c r="F131" s="11"/>
    </row>
    <row r="132" spans="1:6" x14ac:dyDescent="0.25">
      <c r="A132" s="11"/>
      <c r="F132" s="11"/>
    </row>
    <row r="133" spans="1:6" x14ac:dyDescent="0.25">
      <c r="A133" s="11"/>
      <c r="F133" s="11"/>
    </row>
    <row r="134" spans="1:6" x14ac:dyDescent="0.25">
      <c r="A134" s="11"/>
      <c r="F134" s="11"/>
    </row>
    <row r="135" spans="1:6" x14ac:dyDescent="0.25">
      <c r="A135" s="11"/>
      <c r="F135" s="11"/>
    </row>
    <row r="136" spans="1:6" x14ac:dyDescent="0.25">
      <c r="A136" s="11"/>
      <c r="F136" s="11"/>
    </row>
    <row r="137" spans="1:6" x14ac:dyDescent="0.25">
      <c r="A137" s="11"/>
      <c r="F137" s="11"/>
    </row>
    <row r="138" spans="1:6" x14ac:dyDescent="0.25">
      <c r="A138" s="11"/>
      <c r="F138" s="11"/>
    </row>
    <row r="139" spans="1:6" x14ac:dyDescent="0.25">
      <c r="A139" s="11"/>
      <c r="F139" s="11"/>
    </row>
    <row r="140" spans="1:6" x14ac:dyDescent="0.25">
      <c r="A140" s="11"/>
      <c r="F140" s="11"/>
    </row>
    <row r="141" spans="1:6" x14ac:dyDescent="0.25">
      <c r="A141" s="11"/>
      <c r="F141" s="11"/>
    </row>
    <row r="142" spans="1:6" x14ac:dyDescent="0.25">
      <c r="A142" s="11"/>
      <c r="F142" s="11"/>
    </row>
    <row r="143" spans="1:6" x14ac:dyDescent="0.25">
      <c r="A143" s="11"/>
      <c r="F143" s="11"/>
    </row>
    <row r="144" spans="1:6" x14ac:dyDescent="0.25">
      <c r="A144" s="11"/>
      <c r="F144" s="11"/>
    </row>
    <row r="145" spans="1:6" x14ac:dyDescent="0.25">
      <c r="A145" s="11"/>
      <c r="F145" s="11"/>
    </row>
    <row r="146" spans="1:6" x14ac:dyDescent="0.25">
      <c r="A146" s="11"/>
      <c r="F146" s="11"/>
    </row>
    <row r="147" spans="1:6" x14ac:dyDescent="0.25">
      <c r="A147" s="11"/>
      <c r="F147" s="11"/>
    </row>
    <row r="148" spans="1:6" x14ac:dyDescent="0.25">
      <c r="A148" s="11"/>
      <c r="F148" s="11"/>
    </row>
    <row r="149" spans="1:6" x14ac:dyDescent="0.25">
      <c r="A149" s="11"/>
      <c r="F149" s="11"/>
    </row>
    <row r="150" spans="1:6" x14ac:dyDescent="0.25">
      <c r="A150" s="11"/>
      <c r="F150" s="11"/>
    </row>
    <row r="151" spans="1:6" x14ac:dyDescent="0.25">
      <c r="A151" s="11"/>
      <c r="F151" s="11"/>
    </row>
    <row r="152" spans="1:6" x14ac:dyDescent="0.25">
      <c r="A152" s="11"/>
      <c r="F152" s="11"/>
    </row>
    <row r="153" spans="1:6" x14ac:dyDescent="0.25">
      <c r="A153" s="11"/>
      <c r="F153" s="11"/>
    </row>
    <row r="154" spans="1:6" x14ac:dyDescent="0.25">
      <c r="A154" s="11"/>
      <c r="F154" s="11"/>
    </row>
    <row r="155" spans="1:6" x14ac:dyDescent="0.25">
      <c r="A155" s="11"/>
      <c r="F155" s="11"/>
    </row>
    <row r="156" spans="1:6" x14ac:dyDescent="0.25">
      <c r="A156" s="11"/>
      <c r="F156" s="11"/>
    </row>
    <row r="157" spans="1:6" x14ac:dyDescent="0.25">
      <c r="A157" s="11"/>
      <c r="F157" s="11"/>
    </row>
    <row r="158" spans="1:6" x14ac:dyDescent="0.25">
      <c r="A158" s="11"/>
      <c r="F158" s="11"/>
    </row>
    <row r="159" spans="1:6" x14ac:dyDescent="0.25">
      <c r="A159" s="11"/>
      <c r="F159" s="11"/>
    </row>
    <row r="160" spans="1:6" x14ac:dyDescent="0.25">
      <c r="A160" s="11"/>
      <c r="F160" s="11"/>
    </row>
    <row r="161" spans="1:6" x14ac:dyDescent="0.25">
      <c r="A161" s="11"/>
      <c r="F161" s="11"/>
    </row>
    <row r="162" spans="1:6" x14ac:dyDescent="0.25">
      <c r="A162" s="11"/>
      <c r="F162" s="11"/>
    </row>
    <row r="163" spans="1:6" x14ac:dyDescent="0.25">
      <c r="A163" s="11"/>
      <c r="F163" s="11"/>
    </row>
    <row r="164" spans="1:6" x14ac:dyDescent="0.25">
      <c r="A164" s="11"/>
      <c r="F164" s="11"/>
    </row>
    <row r="165" spans="1:6" x14ac:dyDescent="0.25">
      <c r="A165" s="11"/>
      <c r="F165" s="11"/>
    </row>
    <row r="166" spans="1:6" x14ac:dyDescent="0.25">
      <c r="A166" s="11"/>
      <c r="F166" s="11"/>
    </row>
    <row r="167" spans="1:6" x14ac:dyDescent="0.25">
      <c r="A167" s="11"/>
      <c r="F167" s="11"/>
    </row>
    <row r="168" spans="1:6" x14ac:dyDescent="0.25">
      <c r="A168" s="11"/>
      <c r="F168" s="11"/>
    </row>
    <row r="169" spans="1:6" x14ac:dyDescent="0.25">
      <c r="A169" s="11"/>
      <c r="F169" s="11"/>
    </row>
    <row r="170" spans="1:6" x14ac:dyDescent="0.25">
      <c r="A170" s="11"/>
      <c r="F170" s="11"/>
    </row>
    <row r="171" spans="1:6" x14ac:dyDescent="0.25">
      <c r="A171" s="11"/>
      <c r="F171" s="11"/>
    </row>
    <row r="172" spans="1:6" x14ac:dyDescent="0.25">
      <c r="A172" s="11"/>
      <c r="F172" s="11"/>
    </row>
    <row r="173" spans="1:6" x14ac:dyDescent="0.25">
      <c r="A173" s="11"/>
      <c r="F173" s="11"/>
    </row>
    <row r="174" spans="1:6" x14ac:dyDescent="0.25">
      <c r="A174" s="11"/>
      <c r="F174" s="11"/>
    </row>
    <row r="175" spans="1:6" x14ac:dyDescent="0.25">
      <c r="A175" s="11"/>
      <c r="F175" s="11"/>
    </row>
    <row r="176" spans="1:6" x14ac:dyDescent="0.25">
      <c r="A176" s="11"/>
      <c r="F176" s="11"/>
    </row>
    <row r="177" spans="1:6" x14ac:dyDescent="0.25">
      <c r="A177" s="11"/>
      <c r="F177" s="11"/>
    </row>
    <row r="178" spans="1:6" x14ac:dyDescent="0.25">
      <c r="A178" s="11"/>
      <c r="F178" s="11"/>
    </row>
    <row r="179" spans="1:6" x14ac:dyDescent="0.25">
      <c r="A179" s="11"/>
      <c r="F179" s="11"/>
    </row>
    <row r="180" spans="1:6" x14ac:dyDescent="0.25">
      <c r="A180" s="11"/>
      <c r="F180" s="11"/>
    </row>
    <row r="181" spans="1:6" x14ac:dyDescent="0.25">
      <c r="A181" s="11"/>
      <c r="F181" s="11"/>
    </row>
    <row r="182" spans="1:6" x14ac:dyDescent="0.25">
      <c r="A182" s="11"/>
      <c r="F182" s="11"/>
    </row>
    <row r="183" spans="1:6" x14ac:dyDescent="0.25">
      <c r="A183" s="11"/>
      <c r="F183" s="11"/>
    </row>
    <row r="184" spans="1:6" x14ac:dyDescent="0.25">
      <c r="A184" s="11"/>
      <c r="F184" s="11"/>
    </row>
    <row r="185" spans="1:6" x14ac:dyDescent="0.25">
      <c r="A185" s="11"/>
      <c r="F185" s="11"/>
    </row>
    <row r="186" spans="1:6" x14ac:dyDescent="0.25">
      <c r="A186" s="11"/>
      <c r="F186" s="11"/>
    </row>
    <row r="187" spans="1:6" x14ac:dyDescent="0.25">
      <c r="A187" s="11"/>
      <c r="F187" s="11"/>
    </row>
    <row r="188" spans="1:6" x14ac:dyDescent="0.25">
      <c r="A188" s="11"/>
      <c r="F188" s="11"/>
    </row>
    <row r="189" spans="1:6" x14ac:dyDescent="0.25">
      <c r="A189" s="11"/>
      <c r="F189" s="11"/>
    </row>
    <row r="190" spans="1:6" x14ac:dyDescent="0.25">
      <c r="A190" s="11"/>
      <c r="F190" s="11"/>
    </row>
    <row r="191" spans="1:6" x14ac:dyDescent="0.25">
      <c r="A191" s="11"/>
      <c r="F191" s="11"/>
    </row>
    <row r="192" spans="1:6" x14ac:dyDescent="0.25">
      <c r="A192" s="14"/>
      <c r="F192" s="11"/>
    </row>
    <row r="193" spans="1:6" x14ac:dyDescent="0.25">
      <c r="A193" s="14"/>
      <c r="F193" s="11"/>
    </row>
    <row r="194" spans="1:6" x14ac:dyDescent="0.25">
      <c r="A194" s="14"/>
      <c r="F194" s="11"/>
    </row>
    <row r="195" spans="1:6" x14ac:dyDescent="0.25">
      <c r="A195" s="14"/>
      <c r="F195" s="11"/>
    </row>
    <row r="196" spans="1:6" x14ac:dyDescent="0.25">
      <c r="A196" s="14"/>
      <c r="F196" s="11"/>
    </row>
    <row r="197" spans="1:6" x14ac:dyDescent="0.25">
      <c r="A197" s="14"/>
      <c r="F197" s="11"/>
    </row>
    <row r="198" spans="1:6" x14ac:dyDescent="0.25">
      <c r="A198" s="14"/>
      <c r="F198" s="11"/>
    </row>
    <row r="199" spans="1:6" x14ac:dyDescent="0.25">
      <c r="A199" s="14"/>
      <c r="F199" s="11"/>
    </row>
    <row r="200" spans="1:6" x14ac:dyDescent="0.25">
      <c r="A200" s="14"/>
      <c r="F200" s="11"/>
    </row>
    <row r="201" spans="1:6" x14ac:dyDescent="0.25">
      <c r="A201" s="14"/>
      <c r="F201" s="11"/>
    </row>
    <row r="202" spans="1:6" x14ac:dyDescent="0.25">
      <c r="A202" s="14"/>
      <c r="F202" s="11"/>
    </row>
    <row r="203" spans="1:6" x14ac:dyDescent="0.25">
      <c r="A203" s="14"/>
      <c r="F203" s="11"/>
    </row>
    <row r="204" spans="1:6" x14ac:dyDescent="0.25">
      <c r="A204" s="14"/>
      <c r="F204" s="11"/>
    </row>
    <row r="205" spans="1:6" x14ac:dyDescent="0.25">
      <c r="A205" s="14"/>
      <c r="F205" s="11"/>
    </row>
    <row r="206" spans="1:6" x14ac:dyDescent="0.25">
      <c r="A206" s="14"/>
      <c r="F206" s="11"/>
    </row>
    <row r="207" spans="1:6" x14ac:dyDescent="0.25">
      <c r="A207" s="14"/>
      <c r="F207" s="11"/>
    </row>
    <row r="208" spans="1:6" x14ac:dyDescent="0.25">
      <c r="A208" s="14"/>
      <c r="F208" s="11"/>
    </row>
    <row r="209" spans="1:6" x14ac:dyDescent="0.25">
      <c r="A209" s="14"/>
      <c r="F209" s="11"/>
    </row>
    <row r="210" spans="1:6" x14ac:dyDescent="0.25">
      <c r="A210" s="14"/>
    </row>
    <row r="211" spans="1:6" x14ac:dyDescent="0.25">
      <c r="A211" s="14"/>
      <c r="F211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3"/>
  <sheetViews>
    <sheetView topLeftCell="AI1" workbookViewId="0">
      <pane ySplit="1" topLeftCell="A2" activePane="bottomLeft" state="frozen"/>
      <selection pane="bottomLeft" activeCell="AP26" sqref="AP26"/>
    </sheetView>
  </sheetViews>
  <sheetFormatPr defaultRowHeight="15" x14ac:dyDescent="0.25"/>
  <cols>
    <col min="2" max="2" width="29.42578125" customWidth="1"/>
    <col min="3" max="3" width="16.5703125" customWidth="1"/>
    <col min="4" max="4" width="10.7109375" bestFit="1" customWidth="1"/>
    <col min="5" max="5" width="8.42578125" bestFit="1" customWidth="1"/>
    <col min="6" max="6" width="12" bestFit="1" customWidth="1"/>
    <col min="7" max="7" width="16.7109375" customWidth="1"/>
    <col min="8" max="8" width="13" style="27" customWidth="1"/>
    <col min="9" max="9" width="12.28515625" customWidth="1"/>
    <col min="10" max="10" width="14.5703125" customWidth="1"/>
    <col min="11" max="11" width="17.42578125" customWidth="1"/>
    <col min="12" max="12" width="13" customWidth="1"/>
    <col min="13" max="13" width="15.28515625" customWidth="1"/>
    <col min="15" max="15" width="13.140625" bestFit="1" customWidth="1"/>
    <col min="20" max="20" width="13.28515625" bestFit="1" customWidth="1"/>
    <col min="22" max="22" width="13.28515625" bestFit="1" customWidth="1"/>
    <col min="23" max="23" width="12.140625" bestFit="1" customWidth="1"/>
    <col min="24" max="24" width="10.5703125" bestFit="1" customWidth="1"/>
    <col min="25" max="25" width="13.28515625" bestFit="1" customWidth="1"/>
    <col min="26" max="26" width="10.5703125" bestFit="1" customWidth="1"/>
    <col min="27" max="27" width="10.28515625" customWidth="1"/>
    <col min="28" max="28" width="13.42578125" bestFit="1" customWidth="1"/>
    <col min="29" max="29" width="15" customWidth="1"/>
    <col min="30" max="30" width="11.85546875" style="27" customWidth="1"/>
    <col min="31" max="31" width="13" customWidth="1"/>
    <col min="32" max="32" width="10.42578125" customWidth="1"/>
    <col min="33" max="33" width="11.140625" customWidth="1"/>
    <col min="34" max="34" width="18.42578125" customWidth="1"/>
    <col min="35" max="35" width="16.28515625" style="16" bestFit="1" customWidth="1"/>
    <col min="37" max="37" width="12" bestFit="1" customWidth="1"/>
    <col min="38" max="38" width="12.5703125" customWidth="1"/>
    <col min="39" max="39" width="14.28515625" customWidth="1"/>
    <col min="40" max="57" width="12.5703125" customWidth="1"/>
  </cols>
  <sheetData>
    <row r="1" spans="1:57" s="23" customFormat="1" x14ac:dyDescent="0.25">
      <c r="B1" s="23" t="s">
        <v>130</v>
      </c>
      <c r="C1" s="23" t="s">
        <v>129</v>
      </c>
      <c r="D1" s="23" t="s">
        <v>128</v>
      </c>
      <c r="E1" s="23" t="s">
        <v>127</v>
      </c>
      <c r="F1" s="23" t="s">
        <v>126</v>
      </c>
      <c r="G1" s="23" t="s">
        <v>250</v>
      </c>
      <c r="H1" s="29" t="s">
        <v>123</v>
      </c>
      <c r="I1" s="23" t="s">
        <v>237</v>
      </c>
      <c r="J1" s="23" t="s">
        <v>238</v>
      </c>
      <c r="K1" s="23" t="s">
        <v>239</v>
      </c>
      <c r="L1" s="23" t="s">
        <v>117</v>
      </c>
      <c r="M1" s="23" t="s">
        <v>116</v>
      </c>
      <c r="N1" s="23" t="s">
        <v>115</v>
      </c>
      <c r="O1" s="23" t="s">
        <v>114</v>
      </c>
      <c r="P1" s="23" t="s">
        <v>131</v>
      </c>
      <c r="Q1" s="23" t="s">
        <v>132</v>
      </c>
      <c r="R1" s="23" t="s">
        <v>118</v>
      </c>
      <c r="S1" s="23" t="s">
        <v>122</v>
      </c>
      <c r="T1" s="23" t="s">
        <v>121</v>
      </c>
      <c r="U1" s="23" t="s">
        <v>120</v>
      </c>
      <c r="V1" s="30" t="s">
        <v>119</v>
      </c>
      <c r="W1" s="30" t="s">
        <v>112</v>
      </c>
      <c r="X1" s="30" t="s">
        <v>108</v>
      </c>
      <c r="Y1" s="30" t="s">
        <v>111</v>
      </c>
      <c r="Z1" s="30" t="s">
        <v>113</v>
      </c>
      <c r="AA1" s="30" t="s">
        <v>109</v>
      </c>
      <c r="AB1" s="30" t="s">
        <v>110</v>
      </c>
      <c r="AC1" s="30" t="s">
        <v>221</v>
      </c>
      <c r="AD1" s="31" t="s">
        <v>260</v>
      </c>
      <c r="AE1" s="23" t="s">
        <v>261</v>
      </c>
      <c r="AF1" s="23" t="s">
        <v>262</v>
      </c>
      <c r="AG1" s="23" t="s">
        <v>263</v>
      </c>
      <c r="AH1" s="23" t="s">
        <v>264</v>
      </c>
      <c r="AI1" s="32" t="s">
        <v>265</v>
      </c>
      <c r="AJ1" s="23" t="s">
        <v>266</v>
      </c>
      <c r="AK1" s="23" t="s">
        <v>224</v>
      </c>
      <c r="AL1" s="23" t="s">
        <v>225</v>
      </c>
      <c r="AM1" s="23" t="s">
        <v>226</v>
      </c>
      <c r="AN1" s="23" t="s">
        <v>227</v>
      </c>
      <c r="AO1" s="23" t="s">
        <v>228</v>
      </c>
      <c r="AP1" s="23" t="s">
        <v>229</v>
      </c>
      <c r="AQ1" s="23" t="s">
        <v>230</v>
      </c>
      <c r="AR1" s="23" t="s">
        <v>243</v>
      </c>
      <c r="AS1" s="23" t="s">
        <v>244</v>
      </c>
      <c r="AT1" s="23" t="s">
        <v>245</v>
      </c>
      <c r="AU1" s="23" t="s">
        <v>251</v>
      </c>
      <c r="AV1" s="23" t="s">
        <v>246</v>
      </c>
      <c r="AW1" s="23" t="s">
        <v>267</v>
      </c>
      <c r="AX1" s="23" t="s">
        <v>247</v>
      </c>
      <c r="AY1" s="23" t="s">
        <v>268</v>
      </c>
      <c r="AZ1" s="23" t="s">
        <v>124</v>
      </c>
      <c r="BA1" s="23" t="s">
        <v>248</v>
      </c>
      <c r="BB1" s="23" t="s">
        <v>252</v>
      </c>
      <c r="BC1" s="23" t="s">
        <v>253</v>
      </c>
      <c r="BD1" s="23" t="s">
        <v>269</v>
      </c>
      <c r="BE1" s="23" t="s">
        <v>270</v>
      </c>
    </row>
    <row r="2" spans="1:57" x14ac:dyDescent="0.25">
      <c r="A2">
        <v>0</v>
      </c>
      <c r="B2" t="s">
        <v>107</v>
      </c>
      <c r="C2" t="s">
        <v>106</v>
      </c>
      <c r="E2" t="s">
        <v>105</v>
      </c>
      <c r="F2">
        <v>3133.2246789252599</v>
      </c>
      <c r="G2">
        <v>250000</v>
      </c>
      <c r="H2" s="27">
        <v>4.3999999999999997E-2</v>
      </c>
      <c r="I2" t="s">
        <v>79</v>
      </c>
      <c r="J2" t="s">
        <v>91</v>
      </c>
      <c r="K2" t="s">
        <v>240</v>
      </c>
      <c r="L2" t="s">
        <v>21</v>
      </c>
      <c r="M2" s="11" t="s">
        <v>20</v>
      </c>
      <c r="N2" t="s">
        <v>100</v>
      </c>
      <c r="O2" s="11" t="s">
        <v>104</v>
      </c>
      <c r="P2">
        <v>0</v>
      </c>
      <c r="Q2" t="s">
        <v>133</v>
      </c>
      <c r="S2" t="s">
        <v>79</v>
      </c>
      <c r="T2" s="24" t="s">
        <v>91</v>
      </c>
      <c r="U2">
        <v>79.790000915527344</v>
      </c>
      <c r="V2" s="24">
        <v>45107</v>
      </c>
      <c r="W2" s="24"/>
      <c r="X2" s="24"/>
      <c r="Y2" s="24"/>
      <c r="Z2" s="24"/>
      <c r="AA2" s="24"/>
      <c r="AB2" s="24"/>
      <c r="AC2" s="24">
        <v>250000</v>
      </c>
      <c r="AD2" s="27">
        <v>0</v>
      </c>
      <c r="AE2" s="16">
        <v>0</v>
      </c>
      <c r="AF2" s="27">
        <v>0</v>
      </c>
      <c r="AG2" s="27">
        <v>0</v>
      </c>
      <c r="AH2" s="27">
        <v>0</v>
      </c>
      <c r="AI2" s="16">
        <v>0</v>
      </c>
      <c r="AJ2" s="33">
        <v>0</v>
      </c>
      <c r="AK2">
        <v>26523.413664541506</v>
      </c>
      <c r="AL2">
        <v>16929.176111732486</v>
      </c>
      <c r="AM2">
        <v>11769.655245852207</v>
      </c>
      <c r="AN2">
        <v>26523.413664541506</v>
      </c>
      <c r="AO2">
        <v>40887.232585112732</v>
      </c>
      <c r="AP2">
        <v>25745.897966835535</v>
      </c>
      <c r="AQ2">
        <v>29299.782663123307</v>
      </c>
      <c r="AR2">
        <v>0.23457754524641597</v>
      </c>
      <c r="AS2" s="16">
        <v>4.0771281746771184E-3</v>
      </c>
      <c r="AT2">
        <v>0.10609365465816602</v>
      </c>
      <c r="AU2">
        <v>0.16354893034045093</v>
      </c>
      <c r="AV2">
        <v>0.13682996039821871</v>
      </c>
      <c r="AW2">
        <v>8.3838388801358993E-2</v>
      </c>
      <c r="AX2">
        <v>2.5745897966835542E-3</v>
      </c>
      <c r="AY2">
        <v>2.9299782663123313E-3</v>
      </c>
      <c r="AZ2">
        <v>2.5000000000000005E-2</v>
      </c>
      <c r="BA2">
        <v>2.7709387073566499E-2</v>
      </c>
      <c r="BB2">
        <v>1.768615079678432E-2</v>
      </c>
      <c r="BC2">
        <v>1.1472948009872688E-2</v>
      </c>
      <c r="BD2">
        <v>1.8220265392212623E-2</v>
      </c>
      <c r="BE2">
        <v>1.1000000000000001E-3</v>
      </c>
    </row>
    <row r="3" spans="1:57" x14ac:dyDescent="0.25">
      <c r="A3">
        <v>1</v>
      </c>
      <c r="B3" t="s">
        <v>103</v>
      </c>
      <c r="C3" t="s">
        <v>102</v>
      </c>
      <c r="E3" t="s">
        <v>101</v>
      </c>
      <c r="F3">
        <v>540.13178503466997</v>
      </c>
      <c r="G3">
        <v>250000</v>
      </c>
      <c r="H3" s="27">
        <v>4.3999999999999997E-2</v>
      </c>
      <c r="I3" t="s">
        <v>79</v>
      </c>
      <c r="J3" t="s">
        <v>91</v>
      </c>
      <c r="K3" t="s">
        <v>240</v>
      </c>
      <c r="L3" t="s">
        <v>21</v>
      </c>
      <c r="M3" s="11" t="s">
        <v>20</v>
      </c>
      <c r="N3" t="s">
        <v>100</v>
      </c>
      <c r="O3" s="11" t="s">
        <v>99</v>
      </c>
      <c r="P3">
        <v>1</v>
      </c>
      <c r="Q3" t="s">
        <v>134</v>
      </c>
      <c r="R3" t="s">
        <v>22</v>
      </c>
      <c r="S3" t="s">
        <v>79</v>
      </c>
      <c r="T3" s="24" t="s">
        <v>91</v>
      </c>
      <c r="U3">
        <v>462.85000610351563</v>
      </c>
      <c r="V3" s="24">
        <v>45107</v>
      </c>
      <c r="W3" s="24"/>
      <c r="X3" s="24"/>
      <c r="Y3" s="24"/>
      <c r="Z3" s="24"/>
      <c r="AA3" s="24"/>
      <c r="AB3" s="24"/>
      <c r="AC3" s="24">
        <v>250000</v>
      </c>
      <c r="AD3" s="27">
        <v>0</v>
      </c>
      <c r="AE3" s="16">
        <v>0</v>
      </c>
      <c r="AF3" s="27">
        <v>0</v>
      </c>
      <c r="AG3" s="27">
        <v>0</v>
      </c>
      <c r="AH3" s="27">
        <v>0</v>
      </c>
      <c r="AI3" s="16">
        <v>0</v>
      </c>
      <c r="AJ3" s="33">
        <v>0</v>
      </c>
      <c r="AK3">
        <v>22934.924807762978</v>
      </c>
      <c r="AL3">
        <v>14502.602491944228</v>
      </c>
      <c r="AM3">
        <v>10030.950058963139</v>
      </c>
      <c r="AN3">
        <v>22934.924807762978</v>
      </c>
      <c r="AO3">
        <v>35233.993758843651</v>
      </c>
      <c r="AP3">
        <v>8910.60594846391</v>
      </c>
      <c r="AQ3">
        <v>24004.010132159161</v>
      </c>
      <c r="AR3">
        <v>0.2009539548641793</v>
      </c>
      <c r="AS3" s="16">
        <v>3.4748230300620368E-3</v>
      </c>
      <c r="AT3">
        <v>9.1739699231051908E-2</v>
      </c>
      <c r="AU3">
        <v>0.14093597503537461</v>
      </c>
      <c r="AV3">
        <v>4.7356587081289793E-2</v>
      </c>
      <c r="AW3">
        <v>6.8685066964151872E-2</v>
      </c>
      <c r="AX3">
        <v>8.9106059484639116E-4</v>
      </c>
      <c r="AY3">
        <v>2.4004010132159166E-3</v>
      </c>
      <c r="AZ3">
        <v>2.5000000000000005E-2</v>
      </c>
      <c r="BA3">
        <v>3.2345718223825037E-2</v>
      </c>
      <c r="BB3">
        <v>2.0453395755533135E-2</v>
      </c>
      <c r="BC3">
        <v>1.3313764455067731E-2</v>
      </c>
      <c r="BD3">
        <v>5.2644802882057425E-2</v>
      </c>
      <c r="BE3">
        <v>1.1000000000000001E-3</v>
      </c>
    </row>
    <row r="4" spans="1:57" x14ac:dyDescent="0.25">
      <c r="A4">
        <v>2</v>
      </c>
      <c r="B4" t="s">
        <v>98</v>
      </c>
      <c r="C4" t="s">
        <v>97</v>
      </c>
      <c r="E4" t="s">
        <v>96</v>
      </c>
      <c r="F4">
        <v>7616.1461636253698</v>
      </c>
      <c r="G4">
        <v>200000</v>
      </c>
      <c r="H4" s="27">
        <v>6.0499999999999998E-2</v>
      </c>
      <c r="I4" t="s">
        <v>79</v>
      </c>
      <c r="J4" t="s">
        <v>78</v>
      </c>
      <c r="K4" t="s">
        <v>240</v>
      </c>
      <c r="L4" t="s">
        <v>21</v>
      </c>
      <c r="M4" s="11" t="s">
        <v>20</v>
      </c>
      <c r="N4" t="s">
        <v>77</v>
      </c>
      <c r="O4" s="11" t="s">
        <v>95</v>
      </c>
      <c r="P4">
        <v>2</v>
      </c>
      <c r="Q4" t="s">
        <v>135</v>
      </c>
      <c r="S4" t="s">
        <v>79</v>
      </c>
      <c r="T4" s="24" t="s">
        <v>78</v>
      </c>
      <c r="U4">
        <v>26.260000228881839</v>
      </c>
      <c r="V4" s="24">
        <v>45107</v>
      </c>
      <c r="W4" s="24"/>
      <c r="X4" s="24"/>
      <c r="Y4" s="24"/>
      <c r="Z4" s="24"/>
      <c r="AA4" s="24"/>
      <c r="AB4" s="24"/>
      <c r="AC4" s="24">
        <v>200000</v>
      </c>
      <c r="AD4" s="27">
        <v>0</v>
      </c>
      <c r="AE4" s="16">
        <v>0</v>
      </c>
      <c r="AF4" s="27">
        <v>0</v>
      </c>
      <c r="AG4" s="27">
        <v>0</v>
      </c>
      <c r="AH4" s="27">
        <v>0</v>
      </c>
      <c r="AI4" s="16">
        <v>0</v>
      </c>
      <c r="AJ4" s="33">
        <v>0</v>
      </c>
      <c r="AK4">
        <v>18691.526795998143</v>
      </c>
      <c r="AL4">
        <v>12599.535099647574</v>
      </c>
      <c r="AM4">
        <v>8337.0634600973808</v>
      </c>
      <c r="AN4">
        <v>18691.526795998143</v>
      </c>
      <c r="AO4">
        <v>28212.357965615669</v>
      </c>
      <c r="AP4">
        <v>14374.044850729693</v>
      </c>
      <c r="AQ4">
        <v>19774.855452841457</v>
      </c>
      <c r="AR4">
        <v>0.21823034944336994</v>
      </c>
      <c r="AS4" s="16">
        <v>2.8880434997629297E-3</v>
      </c>
      <c r="AT4">
        <v>9.3457633979990712E-2</v>
      </c>
      <c r="AU4">
        <v>0.14106178982807835</v>
      </c>
      <c r="AV4">
        <v>7.6392751584003327E-2</v>
      </c>
      <c r="AW4">
        <v>5.6583765108695443E-2</v>
      </c>
      <c r="AX4">
        <v>1.4374044850729696E-3</v>
      </c>
      <c r="AY4">
        <v>1.9774855452841461E-3</v>
      </c>
      <c r="AZ4">
        <v>2.0000000000000004E-2</v>
      </c>
      <c r="BA4">
        <v>0.10539322353038905</v>
      </c>
      <c r="BB4">
        <v>7.1043186232407948E-2</v>
      </c>
      <c r="BC4">
        <v>4.7068225235003348E-2</v>
      </c>
      <c r="BD4">
        <v>9.238218141977822E-2</v>
      </c>
      <c r="BE4">
        <v>1.2100000000000001E-3</v>
      </c>
    </row>
    <row r="5" spans="1:57" x14ac:dyDescent="0.25">
      <c r="A5">
        <v>3</v>
      </c>
      <c r="B5" t="s">
        <v>94</v>
      </c>
      <c r="C5" t="s">
        <v>93</v>
      </c>
      <c r="E5" t="s">
        <v>92</v>
      </c>
      <c r="F5">
        <v>1137.3976579007799</v>
      </c>
      <c r="G5">
        <v>200000</v>
      </c>
      <c r="H5" s="27">
        <v>5.1999999999999998E-2</v>
      </c>
      <c r="I5" t="s">
        <v>79</v>
      </c>
      <c r="J5" t="s">
        <v>91</v>
      </c>
      <c r="K5" t="s">
        <v>240</v>
      </c>
      <c r="L5" t="s">
        <v>90</v>
      </c>
      <c r="M5" s="11" t="s">
        <v>83</v>
      </c>
      <c r="N5" t="s">
        <v>77</v>
      </c>
      <c r="O5" s="11" t="s">
        <v>89</v>
      </c>
      <c r="P5">
        <v>3</v>
      </c>
      <c r="Q5" t="s">
        <v>136</v>
      </c>
      <c r="S5" t="s">
        <v>79</v>
      </c>
      <c r="T5" s="24" t="s">
        <v>91</v>
      </c>
      <c r="U5">
        <v>175.83999633789063</v>
      </c>
      <c r="V5" s="24">
        <v>45107</v>
      </c>
      <c r="W5" s="24"/>
      <c r="X5" s="24"/>
      <c r="Y5" s="24"/>
      <c r="Z5" s="24"/>
      <c r="AA5" s="24"/>
      <c r="AB5" s="24"/>
      <c r="AC5" s="24">
        <v>200000</v>
      </c>
      <c r="AD5" s="27">
        <v>0</v>
      </c>
      <c r="AE5" s="16">
        <v>0</v>
      </c>
      <c r="AF5" s="27">
        <v>0</v>
      </c>
      <c r="AG5" s="27">
        <v>0</v>
      </c>
      <c r="AH5" s="27">
        <v>0</v>
      </c>
      <c r="AI5" s="16">
        <v>0</v>
      </c>
      <c r="AJ5" s="33">
        <v>0</v>
      </c>
      <c r="AK5">
        <v>16511.418952110565</v>
      </c>
      <c r="AL5">
        <v>10376.257843914624</v>
      </c>
      <c r="AM5">
        <v>6819.3796352313211</v>
      </c>
      <c r="AN5">
        <v>16511.418952110565</v>
      </c>
      <c r="AO5">
        <v>26210.836712321576</v>
      </c>
      <c r="AP5">
        <v>6823.9960995232022</v>
      </c>
      <c r="AQ5">
        <v>17120.648913376011</v>
      </c>
      <c r="AR5">
        <v>0.17972205778095221</v>
      </c>
      <c r="AS5" s="16">
        <v>2.3623024008642335E-3</v>
      </c>
      <c r="AT5">
        <v>8.2557094760552827E-2</v>
      </c>
      <c r="AU5">
        <v>0.13105418356160789</v>
      </c>
      <c r="AV5">
        <v>3.6267024644397142E-2</v>
      </c>
      <c r="AW5">
        <v>4.8989019360124314E-2</v>
      </c>
      <c r="AX5">
        <v>6.8239960995232041E-4</v>
      </c>
      <c r="AY5">
        <v>1.7120648913376015E-3</v>
      </c>
      <c r="AZ5">
        <v>2.0000000000000004E-2</v>
      </c>
      <c r="BA5">
        <v>8.0680135644077722E-2</v>
      </c>
      <c r="BB5">
        <v>5.0701753298916075E-2</v>
      </c>
      <c r="BC5">
        <v>3.1939380627685719E-2</v>
      </c>
      <c r="BD5">
        <v>0.12267854173941427</v>
      </c>
      <c r="BE5">
        <v>1.0400000000000001E-3</v>
      </c>
    </row>
    <row r="6" spans="1:57" x14ac:dyDescent="0.25">
      <c r="A6">
        <v>4</v>
      </c>
      <c r="B6" t="s">
        <v>88</v>
      </c>
      <c r="C6" t="s">
        <v>87</v>
      </c>
      <c r="E6" t="s">
        <v>86</v>
      </c>
      <c r="F6">
        <v>858.36909871244598</v>
      </c>
      <c r="G6">
        <v>200000</v>
      </c>
      <c r="H6" s="27">
        <v>5.1999999999999998E-2</v>
      </c>
      <c r="I6" t="s">
        <v>79</v>
      </c>
      <c r="J6" t="s">
        <v>78</v>
      </c>
      <c r="K6" t="s">
        <v>241</v>
      </c>
      <c r="L6" t="s">
        <v>84</v>
      </c>
      <c r="M6" s="11" t="s">
        <v>83</v>
      </c>
      <c r="N6" t="s">
        <v>77</v>
      </c>
      <c r="O6" s="11" t="s">
        <v>76</v>
      </c>
      <c r="P6">
        <v>4</v>
      </c>
      <c r="Q6" t="s">
        <v>137</v>
      </c>
      <c r="S6" t="s">
        <v>79</v>
      </c>
      <c r="T6" s="24" t="s">
        <v>78</v>
      </c>
      <c r="U6">
        <v>233</v>
      </c>
      <c r="V6" s="24">
        <v>45107</v>
      </c>
      <c r="W6" s="24"/>
      <c r="X6" s="24"/>
      <c r="Y6" s="24"/>
      <c r="Z6" s="24"/>
      <c r="AA6" s="24"/>
      <c r="AB6" s="24"/>
      <c r="AC6" s="24">
        <v>200000</v>
      </c>
      <c r="AD6" s="27">
        <v>0</v>
      </c>
      <c r="AE6" s="16">
        <v>0</v>
      </c>
      <c r="AF6" s="27">
        <v>0</v>
      </c>
      <c r="AG6" s="27">
        <v>0</v>
      </c>
      <c r="AH6" s="27">
        <v>0</v>
      </c>
      <c r="AI6" s="16">
        <v>0</v>
      </c>
      <c r="AJ6" s="33">
        <v>0</v>
      </c>
      <c r="AK6">
        <v>15817.462758282174</v>
      </c>
      <c r="AL6">
        <v>10231.060902260253</v>
      </c>
      <c r="AM6">
        <v>5999.5421354047567</v>
      </c>
      <c r="AN6">
        <v>15817.462758282174</v>
      </c>
      <c r="AO6">
        <v>24300.149821959487</v>
      </c>
      <c r="AP6">
        <v>1942.698000415277</v>
      </c>
      <c r="AQ6">
        <v>13936.378554650286</v>
      </c>
      <c r="AR6">
        <v>0.17720717298046237</v>
      </c>
      <c r="AS6" s="16">
        <v>2.0783023601342633E-3</v>
      </c>
      <c r="AT6">
        <v>7.9087313791410874E-2</v>
      </c>
      <c r="AU6">
        <v>0.12150074910979744</v>
      </c>
      <c r="AV6">
        <v>1.0324723993116687E-2</v>
      </c>
      <c r="AW6">
        <v>3.9877549167565821E-2</v>
      </c>
      <c r="AX6">
        <v>1.9426980004152774E-4</v>
      </c>
      <c r="AY6">
        <v>1.3936378554650288E-3</v>
      </c>
      <c r="AZ6">
        <v>2.0000000000000004E-2</v>
      </c>
      <c r="BA6">
        <v>8.1825130191533882E-2</v>
      </c>
      <c r="BB6">
        <v>5.2926180583963346E-2</v>
      </c>
      <c r="BC6">
        <v>3.4450729582269364E-2</v>
      </c>
      <c r="BD6">
        <v>0.430925388375344</v>
      </c>
      <c r="BE6">
        <v>1.0400000000000001E-3</v>
      </c>
    </row>
    <row r="7" spans="1:57" x14ac:dyDescent="0.25">
      <c r="A7">
        <v>5</v>
      </c>
      <c r="B7" t="s">
        <v>82</v>
      </c>
      <c r="C7" t="s">
        <v>81</v>
      </c>
      <c r="E7" t="s">
        <v>80</v>
      </c>
      <c r="F7">
        <v>2312.9409043598898</v>
      </c>
      <c r="G7">
        <v>200000</v>
      </c>
      <c r="H7" s="27">
        <v>5.1999999999999998E-2</v>
      </c>
      <c r="I7" t="s">
        <v>79</v>
      </c>
      <c r="J7" t="s">
        <v>78</v>
      </c>
      <c r="K7" t="s">
        <v>241</v>
      </c>
      <c r="L7" t="s">
        <v>21</v>
      </c>
      <c r="M7" s="11" t="s">
        <v>20</v>
      </c>
      <c r="N7" t="s">
        <v>77</v>
      </c>
      <c r="O7" s="11" t="s">
        <v>76</v>
      </c>
      <c r="P7">
        <v>5</v>
      </c>
      <c r="Q7" t="s">
        <v>138</v>
      </c>
      <c r="S7" t="s">
        <v>79</v>
      </c>
      <c r="T7" s="24" t="s">
        <v>78</v>
      </c>
      <c r="U7">
        <v>86.47</v>
      </c>
      <c r="V7" s="24">
        <v>45107</v>
      </c>
      <c r="W7" s="24"/>
      <c r="X7" s="24"/>
      <c r="Y7" s="24"/>
      <c r="Z7" s="24"/>
      <c r="AA7" s="24"/>
      <c r="AB7" s="24"/>
      <c r="AC7" s="24">
        <v>200000</v>
      </c>
      <c r="AD7" s="27">
        <v>0</v>
      </c>
      <c r="AE7" s="16">
        <v>0</v>
      </c>
      <c r="AF7" s="27">
        <v>0</v>
      </c>
      <c r="AG7" s="27">
        <v>0</v>
      </c>
      <c r="AH7" s="27">
        <v>0</v>
      </c>
      <c r="AI7" s="16">
        <v>0</v>
      </c>
      <c r="AJ7" s="33">
        <v>0</v>
      </c>
      <c r="AK7">
        <v>16601.590174721117</v>
      </c>
      <c r="AL7">
        <v>11667.887601397033</v>
      </c>
      <c r="AM7">
        <v>8319.4053141232653</v>
      </c>
      <c r="AN7">
        <v>16601.590174721117</v>
      </c>
      <c r="AO7">
        <v>27668.060418603898</v>
      </c>
      <c r="AP7">
        <v>17587.6726712895</v>
      </c>
      <c r="AQ7">
        <v>20402.669063580706</v>
      </c>
      <c r="AR7">
        <v>0.20209374142622619</v>
      </c>
      <c r="AS7" s="16">
        <v>2.8819265385640024E-3</v>
      </c>
      <c r="AT7">
        <v>8.3007950873605588E-2</v>
      </c>
      <c r="AU7">
        <v>0.13834030209301948</v>
      </c>
      <c r="AV7">
        <v>9.3471999236900749E-2</v>
      </c>
      <c r="AW7">
        <v>5.8380190774957749E-2</v>
      </c>
      <c r="AX7">
        <v>1.7587672671289503E-3</v>
      </c>
      <c r="AY7">
        <v>2.0402669063580708E-3</v>
      </c>
      <c r="AZ7">
        <v>2.0000000000000004E-2</v>
      </c>
      <c r="BA7">
        <v>7.174888196769412E-2</v>
      </c>
      <c r="BB7">
        <v>5.042636768613163E-2</v>
      </c>
      <c r="BC7">
        <v>3.0257194673539736E-2</v>
      </c>
      <c r="BD7">
        <v>4.7599128433380052E-2</v>
      </c>
      <c r="BE7">
        <v>1.0400000000000001E-3</v>
      </c>
    </row>
    <row r="8" spans="1:57" x14ac:dyDescent="0.25">
      <c r="A8">
        <v>6</v>
      </c>
      <c r="B8" t="s">
        <v>75</v>
      </c>
      <c r="C8" t="s">
        <v>74</v>
      </c>
      <c r="E8" t="s">
        <v>73</v>
      </c>
      <c r="F8">
        <v>88809.944908793594</v>
      </c>
      <c r="G8">
        <v>1000000</v>
      </c>
      <c r="H8" s="27">
        <v>4.8000000000000001E-2</v>
      </c>
      <c r="I8" t="s">
        <v>47</v>
      </c>
      <c r="J8" t="s">
        <v>51</v>
      </c>
      <c r="K8" t="s">
        <v>242</v>
      </c>
      <c r="L8" t="s">
        <v>21</v>
      </c>
      <c r="M8" s="11" t="s">
        <v>20</v>
      </c>
      <c r="N8" t="s">
        <v>19</v>
      </c>
      <c r="O8" s="11" t="s">
        <v>38</v>
      </c>
      <c r="P8">
        <v>6</v>
      </c>
      <c r="Q8" t="s">
        <v>139</v>
      </c>
      <c r="S8" t="s">
        <v>47</v>
      </c>
      <c r="T8" s="24" t="s">
        <v>51</v>
      </c>
      <c r="U8">
        <v>11.260000228881836</v>
      </c>
      <c r="V8" s="24">
        <v>45107</v>
      </c>
      <c r="W8" s="24"/>
      <c r="X8" s="24"/>
      <c r="Y8" s="24"/>
      <c r="Z8" s="24"/>
      <c r="AA8" s="24"/>
      <c r="AB8" s="24"/>
      <c r="AC8" s="24">
        <v>1000000</v>
      </c>
      <c r="AD8" s="27">
        <v>0</v>
      </c>
      <c r="AE8" s="16">
        <v>0</v>
      </c>
      <c r="AF8" s="27">
        <v>0</v>
      </c>
      <c r="AG8" s="27">
        <v>0</v>
      </c>
      <c r="AH8" s="27">
        <v>0</v>
      </c>
      <c r="AI8" s="16">
        <v>0</v>
      </c>
      <c r="AJ8" s="33">
        <v>0</v>
      </c>
      <c r="AK8">
        <v>14800.950904774052</v>
      </c>
      <c r="AL8">
        <v>9555.8885786966803</v>
      </c>
      <c r="AM8">
        <v>4700.4863261601949</v>
      </c>
      <c r="AN8">
        <v>14800.950904774052</v>
      </c>
      <c r="AO8">
        <v>23721.999102934002</v>
      </c>
      <c r="AP8">
        <v>7005.713490839832</v>
      </c>
      <c r="AQ8">
        <v>10852.987836960674</v>
      </c>
      <c r="AR8">
        <v>3.3102569059539594E-2</v>
      </c>
      <c r="AS8" s="16">
        <v>1.6282962274384463E-3</v>
      </c>
      <c r="AT8">
        <v>1.4800950904774053E-2</v>
      </c>
      <c r="AU8">
        <v>2.3721999102934002E-2</v>
      </c>
      <c r="AV8">
        <v>3.7232785616865494E-2</v>
      </c>
      <c r="AW8">
        <v>3.1054735947810466E-2</v>
      </c>
      <c r="AX8">
        <v>7.0057134908398338E-4</v>
      </c>
      <c r="AY8">
        <v>1.0852987836960676E-3</v>
      </c>
      <c r="AZ8">
        <v>0.10000000000000002</v>
      </c>
      <c r="BA8">
        <v>0.31719592461582924</v>
      </c>
      <c r="BB8">
        <v>0.20479014711601112</v>
      </c>
      <c r="BC8">
        <v>0.12777544169414637</v>
      </c>
      <c r="BD8">
        <v>0.43265955954504431</v>
      </c>
      <c r="BE8">
        <v>4.8000000000000013E-3</v>
      </c>
    </row>
    <row r="9" spans="1:57" x14ac:dyDescent="0.25">
      <c r="A9">
        <v>7</v>
      </c>
      <c r="B9" t="s">
        <v>72</v>
      </c>
      <c r="C9" t="s">
        <v>71</v>
      </c>
      <c r="E9" t="s">
        <v>70</v>
      </c>
      <c r="F9">
        <v>86206.893716782695</v>
      </c>
      <c r="G9">
        <v>1000000</v>
      </c>
      <c r="H9" s="27">
        <v>4.8000000000000001E-2</v>
      </c>
      <c r="I9" t="s">
        <v>47</v>
      </c>
      <c r="J9" t="s">
        <v>51</v>
      </c>
      <c r="K9" t="s">
        <v>249</v>
      </c>
      <c r="L9" t="s">
        <v>21</v>
      </c>
      <c r="M9" s="11" t="s">
        <v>20</v>
      </c>
      <c r="N9" t="s">
        <v>19</v>
      </c>
      <c r="O9" s="11" t="s">
        <v>34</v>
      </c>
      <c r="P9">
        <v>7</v>
      </c>
      <c r="Q9" t="s">
        <v>140</v>
      </c>
      <c r="S9" t="s">
        <v>47</v>
      </c>
      <c r="T9" s="24" t="s">
        <v>51</v>
      </c>
      <c r="U9">
        <v>11.600000381469728</v>
      </c>
      <c r="V9" s="24">
        <v>45107</v>
      </c>
      <c r="W9" s="24"/>
      <c r="X9" s="24"/>
      <c r="Y9" s="24"/>
      <c r="Z9" s="24"/>
      <c r="AA9" s="24"/>
      <c r="AB9" s="24"/>
      <c r="AC9" s="24">
        <v>1000000</v>
      </c>
      <c r="AD9" s="27">
        <v>0</v>
      </c>
      <c r="AE9" s="16">
        <v>0</v>
      </c>
      <c r="AF9" s="27">
        <v>0</v>
      </c>
      <c r="AG9" s="27">
        <v>0</v>
      </c>
      <c r="AH9" s="27">
        <v>0</v>
      </c>
      <c r="AI9" s="16">
        <v>0</v>
      </c>
      <c r="AJ9" s="33">
        <v>0</v>
      </c>
      <c r="AK9">
        <v>16655.20625996136</v>
      </c>
      <c r="AL9">
        <v>11237.327952759293</v>
      </c>
      <c r="AM9">
        <v>6943.8045156118787</v>
      </c>
      <c r="AN9">
        <v>16655.20625996136</v>
      </c>
      <c r="AO9">
        <v>27682.467416303276</v>
      </c>
      <c r="AP9">
        <v>5473.3867824939516</v>
      </c>
      <c r="AQ9">
        <v>15972.469514846231</v>
      </c>
      <c r="AR9">
        <v>3.8927245910986105E-2</v>
      </c>
      <c r="AS9" s="16">
        <v>2.4054044437731947E-3</v>
      </c>
      <c r="AT9">
        <v>1.665520625996136E-2</v>
      </c>
      <c r="AU9">
        <v>2.7682467416303275E-2</v>
      </c>
      <c r="AV9">
        <v>2.9089033820358618E-2</v>
      </c>
      <c r="AW9">
        <v>4.5703619194040319E-2</v>
      </c>
      <c r="AX9">
        <v>5.4733867824939531E-4</v>
      </c>
      <c r="AY9">
        <v>1.5972469514846234E-3</v>
      </c>
      <c r="AZ9">
        <v>0.10000000000000002</v>
      </c>
      <c r="BA9">
        <v>0.26973395508148901</v>
      </c>
      <c r="BB9">
        <v>0.18199047588694156</v>
      </c>
      <c r="BC9">
        <v>0.10949489681185032</v>
      </c>
      <c r="BD9">
        <v>0.55378671994096107</v>
      </c>
      <c r="BE9">
        <v>4.8000000000000013E-3</v>
      </c>
    </row>
    <row r="10" spans="1:57" x14ac:dyDescent="0.25">
      <c r="A10">
        <v>8</v>
      </c>
      <c r="B10" t="s">
        <v>69</v>
      </c>
      <c r="C10" t="s">
        <v>68</v>
      </c>
      <c r="E10" t="s">
        <v>67</v>
      </c>
      <c r="F10">
        <v>348061.85535851697</v>
      </c>
      <c r="G10">
        <v>1900000</v>
      </c>
      <c r="H10" s="27">
        <v>4.8000000000000001E-2</v>
      </c>
      <c r="I10" t="s">
        <v>47</v>
      </c>
      <c r="J10" t="s">
        <v>46</v>
      </c>
      <c r="K10" t="s">
        <v>249</v>
      </c>
      <c r="L10" t="s">
        <v>21</v>
      </c>
      <c r="M10" s="11" t="s">
        <v>20</v>
      </c>
      <c r="N10" t="s">
        <v>19</v>
      </c>
      <c r="O10" s="11" t="s">
        <v>18</v>
      </c>
      <c r="P10">
        <v>8</v>
      </c>
      <c r="Q10" t="s">
        <v>141</v>
      </c>
      <c r="S10" t="s">
        <v>47</v>
      </c>
      <c r="T10" s="24" t="s">
        <v>46</v>
      </c>
      <c r="U10">
        <v>5.4587998390197754</v>
      </c>
      <c r="V10" s="24">
        <v>45107</v>
      </c>
      <c r="W10" s="24"/>
      <c r="X10" s="24"/>
      <c r="Y10" s="24"/>
      <c r="Z10" s="24"/>
      <c r="AA10" s="24"/>
      <c r="AB10" s="24"/>
      <c r="AC10" s="24">
        <v>1900000</v>
      </c>
      <c r="AD10" s="27">
        <v>0</v>
      </c>
      <c r="AE10" s="16">
        <v>0</v>
      </c>
      <c r="AF10" s="27">
        <v>0</v>
      </c>
      <c r="AG10" s="27">
        <v>0</v>
      </c>
      <c r="AH10" s="27">
        <v>0</v>
      </c>
      <c r="AI10" s="16">
        <v>0</v>
      </c>
      <c r="AJ10" s="33">
        <v>0</v>
      </c>
      <c r="AK10">
        <v>22597.81089365701</v>
      </c>
      <c r="AL10">
        <v>26631.333352268524</v>
      </c>
      <c r="AM10">
        <v>17401.617799222549</v>
      </c>
      <c r="AN10">
        <v>22597.81089365701</v>
      </c>
      <c r="AO10">
        <v>50705.548181446822</v>
      </c>
      <c r="AP10">
        <v>11710.838830707778</v>
      </c>
      <c r="AQ10">
        <v>34683.294708689915</v>
      </c>
      <c r="AR10">
        <v>4.8554549936244917E-2</v>
      </c>
      <c r="AS10" s="16">
        <v>6.0280972324296741E-3</v>
      </c>
      <c r="AT10">
        <v>1.1893584680872111E-2</v>
      </c>
      <c r="AU10">
        <v>2.6687130621814117E-2</v>
      </c>
      <c r="AV10">
        <v>6.2238792971982697E-2</v>
      </c>
      <c r="AW10">
        <v>9.9242768457767694E-2</v>
      </c>
      <c r="AX10">
        <v>1.171083883070778E-3</v>
      </c>
      <c r="AY10">
        <v>3.4683294708689923E-3</v>
      </c>
      <c r="AZ10">
        <v>0.19000000000000003</v>
      </c>
      <c r="BA10">
        <v>0.21625161830945075</v>
      </c>
      <c r="BB10">
        <v>0.25485074471452607</v>
      </c>
      <c r="BC10">
        <v>0.11357867416319076</v>
      </c>
      <c r="BD10">
        <v>0.4917725381093348</v>
      </c>
      <c r="BE10">
        <v>9.1200000000000014E-3</v>
      </c>
    </row>
    <row r="11" spans="1:57" x14ac:dyDescent="0.25">
      <c r="A11">
        <v>9</v>
      </c>
      <c r="B11" t="s">
        <v>66</v>
      </c>
      <c r="C11" t="s">
        <v>65</v>
      </c>
      <c r="E11" t="s">
        <v>64</v>
      </c>
      <c r="F11">
        <v>345140.77393311</v>
      </c>
      <c r="G11">
        <v>1900000</v>
      </c>
      <c r="H11" s="27">
        <v>4.8000000000000001E-2</v>
      </c>
      <c r="I11" t="s">
        <v>47</v>
      </c>
      <c r="J11" t="s">
        <v>46</v>
      </c>
      <c r="K11" t="s">
        <v>242</v>
      </c>
      <c r="L11" t="s">
        <v>21</v>
      </c>
      <c r="M11" s="11" t="s">
        <v>20</v>
      </c>
      <c r="N11" t="s">
        <v>19</v>
      </c>
      <c r="O11" s="11" t="s">
        <v>38</v>
      </c>
      <c r="P11">
        <v>9</v>
      </c>
      <c r="Q11" t="s">
        <v>142</v>
      </c>
      <c r="S11" t="s">
        <v>47</v>
      </c>
      <c r="T11" s="24" t="s">
        <v>46</v>
      </c>
      <c r="U11">
        <v>5.505000114440918</v>
      </c>
      <c r="V11" s="24">
        <v>45107</v>
      </c>
      <c r="W11" s="24"/>
      <c r="X11" s="24"/>
      <c r="Y11" s="24"/>
      <c r="Z11" s="24"/>
      <c r="AA11" s="24"/>
      <c r="AB11" s="24"/>
      <c r="AC11" s="24">
        <v>1900000</v>
      </c>
      <c r="AD11" s="27">
        <v>0</v>
      </c>
      <c r="AE11" s="16">
        <v>0</v>
      </c>
      <c r="AF11" s="27">
        <v>0</v>
      </c>
      <c r="AG11" s="27">
        <v>0</v>
      </c>
      <c r="AH11" s="27">
        <v>0</v>
      </c>
      <c r="AI11" s="16">
        <v>0</v>
      </c>
      <c r="AJ11" s="33">
        <v>0</v>
      </c>
      <c r="AK11">
        <v>73974.078260912254</v>
      </c>
      <c r="AL11">
        <v>62889.700156376064</v>
      </c>
      <c r="AM11">
        <v>53177.77661830384</v>
      </c>
      <c r="AN11">
        <v>73974.078260912254</v>
      </c>
      <c r="AO11">
        <v>144669.7661095004</v>
      </c>
      <c r="AP11">
        <v>57767.507886334562</v>
      </c>
      <c r="AQ11">
        <v>121202.89972824728</v>
      </c>
      <c r="AR11">
        <v>0.11466121678275337</v>
      </c>
      <c r="AS11" s="16">
        <v>1.8421322187290107E-2</v>
      </c>
      <c r="AT11">
        <v>3.8933725400480131E-2</v>
      </c>
      <c r="AU11">
        <v>7.6141982162894944E-2</v>
      </c>
      <c r="AV11">
        <v>0.30701301724153757</v>
      </c>
      <c r="AW11">
        <v>0.34680993876647859</v>
      </c>
      <c r="AX11">
        <v>5.7767507886334569E-3</v>
      </c>
      <c r="AY11">
        <v>1.212028997282473E-2</v>
      </c>
      <c r="AZ11">
        <v>0.19000000000000003</v>
      </c>
      <c r="BA11">
        <v>9.1574119781880306E-2</v>
      </c>
      <c r="BB11">
        <v>7.7852527135976471E-2</v>
      </c>
      <c r="BC11">
        <v>3.9808379387352336E-2</v>
      </c>
      <c r="BD11">
        <v>9.9693913514466839E-2</v>
      </c>
      <c r="BE11">
        <v>9.1200000000000014E-3</v>
      </c>
    </row>
    <row r="12" spans="1:57" x14ac:dyDescent="0.25">
      <c r="A12">
        <v>10</v>
      </c>
      <c r="B12" t="s">
        <v>63</v>
      </c>
      <c r="C12" t="s">
        <v>62</v>
      </c>
      <c r="E12" t="s">
        <v>61</v>
      </c>
      <c r="F12">
        <v>8154.0203850509597</v>
      </c>
      <c r="G12">
        <v>900000</v>
      </c>
      <c r="H12" s="27">
        <v>4.8000000000000001E-2</v>
      </c>
      <c r="I12" t="s">
        <v>47</v>
      </c>
      <c r="J12" t="s">
        <v>46</v>
      </c>
      <c r="K12" t="s">
        <v>249</v>
      </c>
      <c r="L12" t="s">
        <v>56</v>
      </c>
      <c r="M12" s="11" t="s">
        <v>55</v>
      </c>
      <c r="N12" t="s">
        <v>19</v>
      </c>
      <c r="O12" s="11" t="s">
        <v>34</v>
      </c>
      <c r="P12">
        <v>10</v>
      </c>
      <c r="Q12" t="s">
        <v>143</v>
      </c>
      <c r="S12" t="s">
        <v>47</v>
      </c>
      <c r="T12" s="24" t="s">
        <v>46</v>
      </c>
      <c r="U12">
        <v>110.375</v>
      </c>
      <c r="V12" s="24">
        <v>45107</v>
      </c>
      <c r="W12" s="24"/>
      <c r="X12" s="24"/>
      <c r="Y12" s="24"/>
      <c r="Z12" s="24"/>
      <c r="AA12" s="24"/>
      <c r="AB12" s="24"/>
      <c r="AC12" s="24">
        <v>900000</v>
      </c>
      <c r="AD12" s="27">
        <v>0</v>
      </c>
      <c r="AE12" s="16">
        <v>0</v>
      </c>
      <c r="AF12" s="27">
        <v>0</v>
      </c>
      <c r="AG12" s="27">
        <v>0</v>
      </c>
      <c r="AH12" s="27">
        <v>0</v>
      </c>
      <c r="AI12" s="16">
        <v>0</v>
      </c>
      <c r="AJ12" s="33">
        <v>0</v>
      </c>
      <c r="AK12">
        <v>7633.4998094472858</v>
      </c>
      <c r="AL12">
        <v>4338.9771658084364</v>
      </c>
      <c r="AM12">
        <v>936.74237322715646</v>
      </c>
      <c r="AN12">
        <v>7633.4998094472858</v>
      </c>
      <c r="AO12">
        <v>11024.756265172784</v>
      </c>
      <c r="AP12">
        <v>2521.0833619150426</v>
      </c>
      <c r="AQ12">
        <v>2810.82491267661</v>
      </c>
      <c r="AR12">
        <v>1.6700730897914268E-2</v>
      </c>
      <c r="AS12" s="16">
        <v>3.2449707680641662E-4</v>
      </c>
      <c r="AT12">
        <v>8.4816664549414288E-3</v>
      </c>
      <c r="AU12">
        <v>1.2249729183525316E-2</v>
      </c>
      <c r="AV12">
        <v>1.3398629056007357E-2</v>
      </c>
      <c r="AW12">
        <v>8.0428935119072707E-3</v>
      </c>
      <c r="AX12">
        <v>2.5210833619150429E-4</v>
      </c>
      <c r="AY12">
        <v>2.8108249126766104E-4</v>
      </c>
      <c r="AZ12">
        <v>9.0000000000000011E-2</v>
      </c>
      <c r="BA12">
        <v>0.62871499841431089</v>
      </c>
      <c r="BB12">
        <v>0.35736950154171887</v>
      </c>
      <c r="BC12">
        <v>0.24744129995314948</v>
      </c>
      <c r="BD12">
        <v>1.0820665683378192</v>
      </c>
      <c r="BE12">
        <v>4.3200000000000009E-3</v>
      </c>
    </row>
    <row r="13" spans="1:57" x14ac:dyDescent="0.25">
      <c r="A13">
        <v>11</v>
      </c>
      <c r="B13" t="s">
        <v>60</v>
      </c>
      <c r="C13" t="s">
        <v>59</v>
      </c>
      <c r="E13" t="s">
        <v>58</v>
      </c>
      <c r="F13">
        <v>8591.0652920962202</v>
      </c>
      <c r="G13">
        <v>200000</v>
      </c>
      <c r="H13" s="27">
        <v>7.0999999999999994E-2</v>
      </c>
      <c r="I13" t="s">
        <v>47</v>
      </c>
      <c r="J13" t="s">
        <v>51</v>
      </c>
      <c r="K13" t="s">
        <v>242</v>
      </c>
      <c r="L13" t="s">
        <v>56</v>
      </c>
      <c r="M13" s="11" t="s">
        <v>55</v>
      </c>
      <c r="N13" t="s">
        <v>19</v>
      </c>
      <c r="O13" s="11" t="s">
        <v>18</v>
      </c>
      <c r="P13">
        <v>11</v>
      </c>
      <c r="Q13" t="s">
        <v>144</v>
      </c>
      <c r="S13" t="s">
        <v>47</v>
      </c>
      <c r="T13" s="24" t="s">
        <v>51</v>
      </c>
      <c r="U13">
        <v>23.28</v>
      </c>
      <c r="V13" s="24">
        <v>45107</v>
      </c>
      <c r="W13" s="24"/>
      <c r="X13" s="24"/>
      <c r="Y13" s="24"/>
      <c r="Z13" s="24"/>
      <c r="AA13" s="24"/>
      <c r="AB13" s="24"/>
      <c r="AC13" s="24">
        <v>200000</v>
      </c>
      <c r="AD13" s="27">
        <v>0</v>
      </c>
      <c r="AE13" s="16">
        <v>0</v>
      </c>
      <c r="AF13" s="27">
        <v>0</v>
      </c>
      <c r="AG13" s="27">
        <v>0</v>
      </c>
      <c r="AH13" s="27">
        <v>0</v>
      </c>
      <c r="AI13" s="16">
        <v>0</v>
      </c>
      <c r="AJ13" s="33">
        <v>0</v>
      </c>
      <c r="AK13">
        <v>4870.2261602717508</v>
      </c>
      <c r="AL13">
        <v>3518.6988256002833</v>
      </c>
      <c r="AM13">
        <v>2401.6658575304259</v>
      </c>
      <c r="AN13">
        <v>4870.2261602717508</v>
      </c>
      <c r="AO13">
        <v>8400.1885088812269</v>
      </c>
      <c r="AP13">
        <v>2680.0515392963866</v>
      </c>
      <c r="AQ13">
        <v>5651.7756203818817</v>
      </c>
      <c r="AR13">
        <v>6.0945651424726306E-2</v>
      </c>
      <c r="AS13" s="16">
        <v>8.31961457609235E-4</v>
      </c>
      <c r="AT13">
        <v>2.4351130801358756E-2</v>
      </c>
      <c r="AU13">
        <v>4.2000942544406138E-2</v>
      </c>
      <c r="AV13">
        <v>1.4243486339435014E-2</v>
      </c>
      <c r="AW13">
        <v>1.6171988964136162E-2</v>
      </c>
      <c r="AX13">
        <v>2.6800515392963871E-4</v>
      </c>
      <c r="AY13">
        <v>5.6517756203818827E-4</v>
      </c>
      <c r="AZ13">
        <v>2.0000000000000004E-2</v>
      </c>
      <c r="BA13">
        <v>0.54967006204496294</v>
      </c>
      <c r="BB13">
        <v>0.39713215323810036</v>
      </c>
      <c r="BC13">
        <v>0.23024761881716876</v>
      </c>
      <c r="BD13">
        <v>0.72167395791687849</v>
      </c>
      <c r="BE13">
        <v>1.4200000000000003E-3</v>
      </c>
    </row>
    <row r="14" spans="1:57" x14ac:dyDescent="0.25">
      <c r="A14">
        <v>12</v>
      </c>
      <c r="B14" t="s">
        <v>54</v>
      </c>
      <c r="C14" t="s">
        <v>53</v>
      </c>
      <c r="E14" t="s">
        <v>52</v>
      </c>
      <c r="F14">
        <v>5643.3408577878099</v>
      </c>
      <c r="G14">
        <v>200000</v>
      </c>
      <c r="H14" s="27">
        <v>7.0999999999999994E-2</v>
      </c>
      <c r="I14" t="s">
        <v>47</v>
      </c>
      <c r="J14" t="s">
        <v>51</v>
      </c>
      <c r="K14" t="s">
        <v>249</v>
      </c>
      <c r="L14" t="s">
        <v>21</v>
      </c>
      <c r="M14" s="11" t="s">
        <v>20</v>
      </c>
      <c r="N14" t="s">
        <v>19</v>
      </c>
      <c r="O14" s="11" t="s">
        <v>38</v>
      </c>
      <c r="P14">
        <v>12</v>
      </c>
      <c r="Q14" t="s">
        <v>145</v>
      </c>
      <c r="S14" t="s">
        <v>47</v>
      </c>
      <c r="T14" s="24" t="s">
        <v>51</v>
      </c>
      <c r="U14">
        <v>35.44</v>
      </c>
      <c r="V14" s="24">
        <v>45107</v>
      </c>
      <c r="W14" s="24"/>
      <c r="X14" s="24"/>
      <c r="Y14" s="24"/>
      <c r="Z14" s="24"/>
      <c r="AA14" s="24"/>
      <c r="AB14" s="24"/>
      <c r="AC14" s="24">
        <v>200000</v>
      </c>
      <c r="AD14" s="27">
        <v>0</v>
      </c>
      <c r="AE14" s="16">
        <v>0</v>
      </c>
      <c r="AF14" s="27">
        <v>0</v>
      </c>
      <c r="AG14" s="27">
        <v>0</v>
      </c>
      <c r="AH14" s="27">
        <v>0</v>
      </c>
      <c r="AI14" s="16">
        <v>0</v>
      </c>
      <c r="AJ14" s="33">
        <v>0</v>
      </c>
      <c r="AK14">
        <v>4640.3870123829365</v>
      </c>
      <c r="AL14">
        <v>4279.6905233931202</v>
      </c>
      <c r="AM14">
        <v>978.05182130689036</v>
      </c>
      <c r="AN14">
        <v>4640.3870123829365</v>
      </c>
      <c r="AO14">
        <v>10297.276277790834</v>
      </c>
      <c r="AP14">
        <v>-559.49509205702884</v>
      </c>
      <c r="AQ14">
        <v>2828.1694156830076</v>
      </c>
      <c r="AR14">
        <v>7.4126414271879243E-2</v>
      </c>
      <c r="AS14" s="16">
        <v>3.3880708938776222E-4</v>
      </c>
      <c r="AT14">
        <v>2.3201935061914682E-2</v>
      </c>
      <c r="AU14">
        <v>5.1486381388954172E-2</v>
      </c>
      <c r="AV14">
        <v>-2.9735102418170017E-3</v>
      </c>
      <c r="AW14">
        <v>8.0925230672980308E-3</v>
      </c>
      <c r="AX14">
        <v>-5.5949509205702895E-5</v>
      </c>
      <c r="AY14">
        <v>2.8281694156830084E-4</v>
      </c>
      <c r="AZ14">
        <v>2.0000000000000004E-2</v>
      </c>
      <c r="BA14">
        <v>0.45193066910169738</v>
      </c>
      <c r="BB14">
        <v>0.41680217547028109</v>
      </c>
      <c r="BC14">
        <v>0.18782864027420176</v>
      </c>
      <c r="BD14">
        <v>-3.4569086114308623</v>
      </c>
      <c r="BE14">
        <v>1.4200000000000003E-3</v>
      </c>
    </row>
    <row r="15" spans="1:57" x14ac:dyDescent="0.25">
      <c r="A15">
        <v>13</v>
      </c>
      <c r="B15" t="s">
        <v>50</v>
      </c>
      <c r="C15" t="s">
        <v>49</v>
      </c>
      <c r="E15" t="s">
        <v>48</v>
      </c>
      <c r="F15">
        <v>2428.0683905682999</v>
      </c>
      <c r="G15">
        <v>200000</v>
      </c>
      <c r="H15" s="27">
        <v>7.0999999999999994E-2</v>
      </c>
      <c r="I15" t="s">
        <v>47</v>
      </c>
      <c r="J15" t="s">
        <v>46</v>
      </c>
      <c r="K15" t="s">
        <v>249</v>
      </c>
      <c r="L15" t="s">
        <v>21</v>
      </c>
      <c r="M15" s="11" t="s">
        <v>20</v>
      </c>
      <c r="N15" t="s">
        <v>19</v>
      </c>
      <c r="O15" s="11" t="s">
        <v>34</v>
      </c>
      <c r="P15">
        <v>13</v>
      </c>
      <c r="Q15" t="s">
        <v>146</v>
      </c>
      <c r="S15" t="s">
        <v>47</v>
      </c>
      <c r="T15" s="24" t="s">
        <v>46</v>
      </c>
      <c r="U15">
        <v>82.370002746582031</v>
      </c>
      <c r="V15" s="24">
        <v>45107</v>
      </c>
      <c r="W15" s="24"/>
      <c r="X15" s="24"/>
      <c r="Y15" s="24"/>
      <c r="Z15" s="24"/>
      <c r="AA15" s="24"/>
      <c r="AB15" s="24"/>
      <c r="AC15" s="24">
        <v>200000</v>
      </c>
      <c r="AD15" s="27">
        <v>0</v>
      </c>
      <c r="AE15" s="16">
        <v>0</v>
      </c>
      <c r="AF15" s="27">
        <v>0</v>
      </c>
      <c r="AG15" s="27">
        <v>0</v>
      </c>
      <c r="AH15" s="27">
        <v>0</v>
      </c>
      <c r="AI15" s="16">
        <v>0</v>
      </c>
      <c r="AJ15" s="33">
        <v>0</v>
      </c>
      <c r="AK15">
        <v>8205.7548635314324</v>
      </c>
      <c r="AL15">
        <v>6366.7736490920097</v>
      </c>
      <c r="AM15">
        <v>3561.2982300909666</v>
      </c>
      <c r="AN15">
        <v>8205.7548635314324</v>
      </c>
      <c r="AO15">
        <v>16556.948119390509</v>
      </c>
      <c r="AP15">
        <v>4086.3382328295888</v>
      </c>
      <c r="AQ15">
        <v>9683.3564676886926</v>
      </c>
      <c r="AR15">
        <v>0.11027575440518063</v>
      </c>
      <c r="AS15" s="16">
        <v>1.2336698950845347E-3</v>
      </c>
      <c r="AT15">
        <v>4.1028774317657161E-2</v>
      </c>
      <c r="AU15">
        <v>8.2784740596952539E-2</v>
      </c>
      <c r="AV15">
        <v>2.1717381902625614E-2</v>
      </c>
      <c r="AW15">
        <v>2.7707953119461757E-2</v>
      </c>
      <c r="AX15">
        <v>4.0863382328295894E-4</v>
      </c>
      <c r="AY15">
        <v>9.6833564676886944E-4</v>
      </c>
      <c r="AZ15">
        <v>2.0000000000000004E-2</v>
      </c>
      <c r="BA15">
        <v>0.30378391134748112</v>
      </c>
      <c r="BB15">
        <v>0.23570328799133491</v>
      </c>
      <c r="BC15">
        <v>0.11681641977968853</v>
      </c>
      <c r="BD15">
        <v>0.47331456467468203</v>
      </c>
      <c r="BE15">
        <v>1.4200000000000003E-3</v>
      </c>
    </row>
    <row r="16" spans="1:57" x14ac:dyDescent="0.25">
      <c r="A16">
        <v>14</v>
      </c>
      <c r="B16" t="s">
        <v>45</v>
      </c>
      <c r="C16" t="s">
        <v>44</v>
      </c>
      <c r="D16" t="s">
        <v>44</v>
      </c>
      <c r="E16" t="s">
        <v>43</v>
      </c>
      <c r="F16">
        <v>72909.0415921229</v>
      </c>
      <c r="G16">
        <v>150000</v>
      </c>
      <c r="H16" s="27">
        <v>0.05</v>
      </c>
      <c r="I16" t="s">
        <v>27</v>
      </c>
      <c r="J16" t="s">
        <v>39</v>
      </c>
      <c r="K16" t="s">
        <v>39</v>
      </c>
      <c r="L16" t="s">
        <v>21</v>
      </c>
      <c r="M16" s="11" t="s">
        <v>20</v>
      </c>
      <c r="N16" t="s">
        <v>19</v>
      </c>
      <c r="O16" s="11" t="s">
        <v>18</v>
      </c>
      <c r="P16">
        <v>14</v>
      </c>
      <c r="Q16" t="s">
        <v>147</v>
      </c>
      <c r="R16" t="s">
        <v>22</v>
      </c>
      <c r="S16" t="s">
        <v>27</v>
      </c>
      <c r="T16" s="24" t="s">
        <v>39</v>
      </c>
      <c r="U16">
        <v>1.6937734459670661</v>
      </c>
      <c r="V16" s="24">
        <v>44925</v>
      </c>
      <c r="W16" s="24"/>
      <c r="X16" s="24"/>
      <c r="Y16" s="24"/>
      <c r="Z16" s="24"/>
      <c r="AA16" s="24"/>
      <c r="AB16" s="24"/>
      <c r="AC16" s="24">
        <v>150000</v>
      </c>
      <c r="AD16" s="27">
        <v>0</v>
      </c>
      <c r="AE16" s="16">
        <v>0</v>
      </c>
      <c r="AF16" s="27">
        <v>0</v>
      </c>
      <c r="AG16" s="27">
        <v>0</v>
      </c>
      <c r="AH16" s="27">
        <v>0</v>
      </c>
      <c r="AI16" s="16">
        <v>0</v>
      </c>
      <c r="AJ16" s="33">
        <v>0</v>
      </c>
      <c r="AK16">
        <v>8563.1218732481138</v>
      </c>
      <c r="AL16">
        <v>5565.7499770256309</v>
      </c>
      <c r="AM16">
        <v>2234.4905076951645</v>
      </c>
      <c r="AN16">
        <v>8563.1218732481138</v>
      </c>
      <c r="AO16">
        <v>11845.315699209101</v>
      </c>
      <c r="AP16">
        <v>7875.7495150310933</v>
      </c>
      <c r="AQ16">
        <v>5716.409548967209</v>
      </c>
      <c r="AR16">
        <v>0.12853548989911603</v>
      </c>
      <c r="AS16" s="16">
        <v>7.7405021767168014E-4</v>
      </c>
      <c r="AT16">
        <v>5.7087479154987422E-2</v>
      </c>
      <c r="AU16">
        <v>7.8968771328060669E-2</v>
      </c>
      <c r="AV16">
        <v>4.1856706479461304E-2</v>
      </c>
      <c r="AW16">
        <v>1.6356932466850809E-2</v>
      </c>
      <c r="AX16">
        <v>7.8757495150310946E-4</v>
      </c>
      <c r="AY16">
        <v>5.7164095489672104E-4</v>
      </c>
      <c r="AZ16">
        <v>1.5000000000000003E-2</v>
      </c>
      <c r="BA16">
        <v>9.7249405668511549E-2</v>
      </c>
      <c r="BB16">
        <v>6.3208942413424341E-2</v>
      </c>
      <c r="BC16">
        <v>4.5694508370208664E-2</v>
      </c>
      <c r="BD16">
        <v>6.8725633837421182E-2</v>
      </c>
      <c r="BE16">
        <v>7.5000000000000023E-4</v>
      </c>
    </row>
    <row r="17" spans="1:57" x14ac:dyDescent="0.25">
      <c r="A17">
        <v>15</v>
      </c>
      <c r="B17" t="s">
        <v>42</v>
      </c>
      <c r="C17" t="s">
        <v>41</v>
      </c>
      <c r="D17" t="s">
        <v>41</v>
      </c>
      <c r="E17" t="s">
        <v>40</v>
      </c>
      <c r="F17">
        <v>93134.278359645105</v>
      </c>
      <c r="G17">
        <v>150000</v>
      </c>
      <c r="H17" s="27">
        <v>0.05</v>
      </c>
      <c r="I17" t="s">
        <v>27</v>
      </c>
      <c r="J17" t="s">
        <v>39</v>
      </c>
      <c r="K17" t="s">
        <v>39</v>
      </c>
      <c r="L17" t="s">
        <v>21</v>
      </c>
      <c r="M17" s="11" t="s">
        <v>20</v>
      </c>
      <c r="N17" t="s">
        <v>19</v>
      </c>
      <c r="O17" s="11" t="s">
        <v>38</v>
      </c>
      <c r="P17">
        <v>15</v>
      </c>
      <c r="Q17" t="s">
        <v>148</v>
      </c>
      <c r="R17" t="s">
        <v>22</v>
      </c>
      <c r="S17" t="s">
        <v>27</v>
      </c>
      <c r="T17" s="24" t="s">
        <v>39</v>
      </c>
      <c r="U17">
        <v>1.6105777877052256</v>
      </c>
      <c r="V17" s="24">
        <v>45107</v>
      </c>
      <c r="W17" s="24"/>
      <c r="X17" s="24"/>
      <c r="Y17" s="24"/>
      <c r="Z17" s="24"/>
      <c r="AA17" s="24"/>
      <c r="AB17" s="24"/>
      <c r="AC17" s="24">
        <v>150000</v>
      </c>
      <c r="AD17" s="27">
        <v>0</v>
      </c>
      <c r="AE17" s="16">
        <v>0</v>
      </c>
      <c r="AF17" s="27">
        <v>0</v>
      </c>
      <c r="AG17" s="27">
        <v>0</v>
      </c>
      <c r="AH17" s="27">
        <v>0</v>
      </c>
      <c r="AI17" s="16">
        <v>0</v>
      </c>
      <c r="AJ17" s="33">
        <v>0</v>
      </c>
      <c r="AK17">
        <v>3698.717159273755</v>
      </c>
      <c r="AL17">
        <v>2379.6631755084168</v>
      </c>
      <c r="AM17">
        <v>763.03659992001462</v>
      </c>
      <c r="AN17">
        <v>3698.717159273755</v>
      </c>
      <c r="AO17">
        <v>5170.483823380644</v>
      </c>
      <c r="AP17">
        <v>1213.0995085752925</v>
      </c>
      <c r="AQ17">
        <v>2148.1134404366121</v>
      </c>
      <c r="AR17">
        <v>5.4955966998416962E-2</v>
      </c>
      <c r="AS17" s="16">
        <v>2.6432363181921436E-4</v>
      </c>
      <c r="AT17">
        <v>2.4658114395158366E-2</v>
      </c>
      <c r="AU17">
        <v>3.4469892155870957E-2</v>
      </c>
      <c r="AV17">
        <v>6.4471768641075561E-3</v>
      </c>
      <c r="AW17">
        <v>6.1466111158365797E-3</v>
      </c>
      <c r="AX17">
        <v>1.2130995085752927E-4</v>
      </c>
      <c r="AY17">
        <v>2.1481134404366126E-4</v>
      </c>
      <c r="AZ17">
        <v>1.5000000000000003E-2</v>
      </c>
      <c r="BA17">
        <v>0.22745482761426206</v>
      </c>
      <c r="BB17">
        <v>0.14633881263620388</v>
      </c>
      <c r="BC17">
        <v>0.10468379669184918</v>
      </c>
      <c r="BD17">
        <v>0.44618423595023654</v>
      </c>
      <c r="BE17">
        <v>7.5000000000000023E-4</v>
      </c>
    </row>
    <row r="18" spans="1:57" x14ac:dyDescent="0.25">
      <c r="A18">
        <v>16</v>
      </c>
      <c r="B18" t="s">
        <v>37</v>
      </c>
      <c r="C18" t="s">
        <v>36</v>
      </c>
      <c r="D18" t="s">
        <v>36</v>
      </c>
      <c r="E18" t="s">
        <v>35</v>
      </c>
      <c r="F18">
        <v>164980.25120397101</v>
      </c>
      <c r="G18">
        <v>200000</v>
      </c>
      <c r="H18" s="27">
        <v>9.2999999999999999E-2</v>
      </c>
      <c r="I18" t="s">
        <v>27</v>
      </c>
      <c r="J18" t="s">
        <v>26</v>
      </c>
      <c r="K18" t="s">
        <v>26</v>
      </c>
      <c r="L18" t="s">
        <v>21</v>
      </c>
      <c r="M18" s="11" t="s">
        <v>20</v>
      </c>
      <c r="N18" t="s">
        <v>19</v>
      </c>
      <c r="O18" s="11" t="s">
        <v>34</v>
      </c>
      <c r="P18">
        <v>16</v>
      </c>
      <c r="Q18" t="s">
        <v>149</v>
      </c>
      <c r="R18" t="s">
        <v>22</v>
      </c>
      <c r="S18" t="s">
        <v>27</v>
      </c>
      <c r="T18" s="24" t="s">
        <v>26</v>
      </c>
      <c r="U18">
        <v>1.2122663078790714</v>
      </c>
      <c r="V18" s="24">
        <v>45107</v>
      </c>
      <c r="W18" s="24"/>
      <c r="X18" s="24"/>
      <c r="Y18" s="24"/>
      <c r="Z18" s="24"/>
      <c r="AA18" s="24"/>
      <c r="AB18" s="24"/>
      <c r="AC18" s="24">
        <v>200000</v>
      </c>
      <c r="AD18" s="27">
        <v>0</v>
      </c>
      <c r="AE18" s="16">
        <v>0</v>
      </c>
      <c r="AF18" s="27">
        <v>0</v>
      </c>
      <c r="AG18" s="27">
        <v>0</v>
      </c>
      <c r="AH18" s="27">
        <v>0</v>
      </c>
      <c r="AI18" s="16">
        <v>0</v>
      </c>
      <c r="AJ18" s="33">
        <v>0</v>
      </c>
      <c r="AK18">
        <v>3960.3022131049079</v>
      </c>
      <c r="AL18">
        <v>3074.7475577137402</v>
      </c>
      <c r="AM18">
        <v>1695.6105843053676</v>
      </c>
      <c r="AN18">
        <v>3960.3022131049079</v>
      </c>
      <c r="AO18">
        <v>7399.3003223037995</v>
      </c>
      <c r="AP18">
        <v>2611.6105223261652</v>
      </c>
      <c r="AQ18">
        <v>4454.3788393332106</v>
      </c>
      <c r="AR18">
        <v>5.325618990408517E-2</v>
      </c>
      <c r="AS18" s="16">
        <v>5.8737673637368959E-4</v>
      </c>
      <c r="AT18">
        <v>1.9801511065524538E-2</v>
      </c>
      <c r="AU18">
        <v>3.6996501611518996E-2</v>
      </c>
      <c r="AV18">
        <v>1.3879747554572571E-2</v>
      </c>
      <c r="AW18">
        <v>1.2745758195352942E-2</v>
      </c>
      <c r="AX18">
        <v>2.6116105223261655E-4</v>
      </c>
      <c r="AY18">
        <v>4.4543788393332115E-4</v>
      </c>
      <c r="AZ18">
        <v>2.0000000000000004E-2</v>
      </c>
      <c r="BA18">
        <v>1.04213238123035</v>
      </c>
      <c r="BB18">
        <v>0.80910340210885867</v>
      </c>
      <c r="BC18">
        <v>0.43305364756498416</v>
      </c>
      <c r="BD18">
        <v>1.2269417536074076</v>
      </c>
      <c r="BE18">
        <v>1.8600000000000003E-3</v>
      </c>
    </row>
    <row r="19" spans="1:57" x14ac:dyDescent="0.25">
      <c r="A19">
        <v>17</v>
      </c>
      <c r="B19" t="s">
        <v>33</v>
      </c>
      <c r="C19" t="s">
        <v>32</v>
      </c>
      <c r="D19" t="s">
        <v>32</v>
      </c>
      <c r="E19" t="s">
        <v>31</v>
      </c>
      <c r="F19">
        <v>173246.43870251501</v>
      </c>
      <c r="G19">
        <v>200000</v>
      </c>
      <c r="H19" s="27">
        <v>9.2999999999999999E-2</v>
      </c>
      <c r="I19" t="s">
        <v>27</v>
      </c>
      <c r="J19" t="s">
        <v>26</v>
      </c>
      <c r="K19" t="s">
        <v>26</v>
      </c>
      <c r="L19" t="s">
        <v>21</v>
      </c>
      <c r="M19" s="11" t="s">
        <v>20</v>
      </c>
      <c r="N19" t="s">
        <v>19</v>
      </c>
      <c r="O19" s="11" t="s">
        <v>18</v>
      </c>
      <c r="P19">
        <v>17</v>
      </c>
      <c r="Q19" t="s">
        <v>150</v>
      </c>
      <c r="R19" t="s">
        <v>22</v>
      </c>
      <c r="S19" t="s">
        <v>27</v>
      </c>
      <c r="T19" s="24" t="s">
        <v>26</v>
      </c>
      <c r="U19">
        <v>1.1544248845624097</v>
      </c>
      <c r="V19" s="24">
        <v>45077</v>
      </c>
      <c r="W19" s="24"/>
      <c r="X19" s="24"/>
      <c r="Y19" s="24"/>
      <c r="Z19" s="24"/>
      <c r="AA19" s="24"/>
      <c r="AB19" s="24"/>
      <c r="AC19" s="24">
        <v>200000</v>
      </c>
      <c r="AD19" s="27">
        <v>0</v>
      </c>
      <c r="AE19" s="16">
        <v>0</v>
      </c>
      <c r="AF19" s="27">
        <v>0</v>
      </c>
      <c r="AG19" s="27">
        <v>0</v>
      </c>
      <c r="AH19" s="27">
        <v>0</v>
      </c>
      <c r="AI19" s="16">
        <v>0</v>
      </c>
      <c r="AJ19" s="33">
        <v>0</v>
      </c>
      <c r="AK19">
        <v>4951.6364548705078</v>
      </c>
      <c r="AL19">
        <v>3490.5276437187022</v>
      </c>
      <c r="AM19">
        <v>1756.8353018543312</v>
      </c>
      <c r="AN19">
        <v>4951.6364548705078</v>
      </c>
      <c r="AO19">
        <v>7998.9198367273175</v>
      </c>
      <c r="AP19">
        <v>4611.3687053901458</v>
      </c>
      <c r="AQ19">
        <v>4355.1497007284443</v>
      </c>
      <c r="AR19">
        <v>6.045771224144468E-2</v>
      </c>
      <c r="AS19" s="16">
        <v>6.085856006684614E-4</v>
      </c>
      <c r="AT19">
        <v>2.4758182274352537E-2</v>
      </c>
      <c r="AU19">
        <v>3.9994599183636591E-2</v>
      </c>
      <c r="AV19">
        <v>2.4507725391940273E-2</v>
      </c>
      <c r="AW19">
        <v>1.2461823969682357E-2</v>
      </c>
      <c r="AX19">
        <v>4.6113687053901469E-4</v>
      </c>
      <c r="AY19">
        <v>4.355149700728445E-4</v>
      </c>
      <c r="AZ19">
        <v>2.0000000000000004E-2</v>
      </c>
      <c r="BA19">
        <v>0.91799702539776074</v>
      </c>
      <c r="BB19">
        <v>0.64711818470651838</v>
      </c>
      <c r="BC19">
        <v>0.40059083718901595</v>
      </c>
      <c r="BD19">
        <v>0.69486831323137999</v>
      </c>
      <c r="BE19">
        <v>1.8600000000000003E-3</v>
      </c>
    </row>
    <row r="20" spans="1:57" x14ac:dyDescent="0.25">
      <c r="A20">
        <v>18</v>
      </c>
      <c r="B20" t="s">
        <v>30</v>
      </c>
      <c r="C20" t="s">
        <v>29</v>
      </c>
      <c r="D20" t="s">
        <v>29</v>
      </c>
      <c r="E20" t="s">
        <v>28</v>
      </c>
      <c r="F20">
        <v>200000</v>
      </c>
      <c r="G20">
        <v>200000</v>
      </c>
      <c r="H20" s="27">
        <v>9.2999999999999999E-2</v>
      </c>
      <c r="I20" t="s">
        <v>27</v>
      </c>
      <c r="J20" t="s">
        <v>26</v>
      </c>
      <c r="K20" t="s">
        <v>26</v>
      </c>
      <c r="L20" t="s">
        <v>21</v>
      </c>
      <c r="M20" s="11" t="s">
        <v>20</v>
      </c>
      <c r="N20" t="s">
        <v>19</v>
      </c>
      <c r="O20" s="11" t="s">
        <v>18</v>
      </c>
      <c r="P20">
        <v>18</v>
      </c>
      <c r="Q20" t="s">
        <v>151</v>
      </c>
      <c r="R20" t="s">
        <v>22</v>
      </c>
      <c r="S20" t="s">
        <v>27</v>
      </c>
      <c r="T20" s="24" t="s">
        <v>26</v>
      </c>
      <c r="U20">
        <v>1</v>
      </c>
      <c r="V20" s="24">
        <v>45107</v>
      </c>
      <c r="W20" s="24"/>
      <c r="X20" s="24"/>
      <c r="Y20" s="24"/>
      <c r="Z20" s="24"/>
      <c r="AA20" s="24"/>
      <c r="AB20" s="24"/>
      <c r="AC20" s="24">
        <v>200000</v>
      </c>
      <c r="AD20" s="27">
        <v>0</v>
      </c>
      <c r="AE20" s="16">
        <v>0</v>
      </c>
      <c r="AF20" s="27">
        <v>0</v>
      </c>
      <c r="AG20" s="27">
        <v>0</v>
      </c>
      <c r="AH20" s="27">
        <v>0</v>
      </c>
      <c r="AI20" s="16">
        <v>0</v>
      </c>
      <c r="AJ20" s="33">
        <v>0</v>
      </c>
      <c r="AK20">
        <v>5224.3441884543099</v>
      </c>
      <c r="AL20">
        <v>3624.076072185168</v>
      </c>
      <c r="AM20">
        <v>1628.2473239363308</v>
      </c>
      <c r="AN20">
        <v>5224.3441884543099</v>
      </c>
      <c r="AO20">
        <v>8219.1462639690853</v>
      </c>
      <c r="AP20">
        <v>5777.631064310237</v>
      </c>
      <c r="AQ20">
        <v>4581.1401769484519</v>
      </c>
      <c r="AR20">
        <v>6.2770838875193649E-2</v>
      </c>
      <c r="AS20" s="16">
        <v>5.6404141846915705E-4</v>
      </c>
      <c r="AT20">
        <v>2.612172094227155E-2</v>
      </c>
      <c r="AU20">
        <v>4.1095731319845424E-2</v>
      </c>
      <c r="AV20">
        <v>3.0705980064996578E-2</v>
      </c>
      <c r="AW20">
        <v>1.3108473046522901E-2</v>
      </c>
      <c r="AX20">
        <v>5.7776310643102384E-4</v>
      </c>
      <c r="AY20">
        <v>4.5811401769484529E-4</v>
      </c>
      <c r="AZ20">
        <v>2.0000000000000004E-2</v>
      </c>
      <c r="BA20">
        <v>0.88416852466078788</v>
      </c>
      <c r="BB20">
        <v>0.61333899115679347</v>
      </c>
      <c r="BC20">
        <v>0.38985727849245577</v>
      </c>
      <c r="BD20">
        <v>0.55460342800288653</v>
      </c>
      <c r="BE20">
        <v>1.8600000000000003E-3</v>
      </c>
    </row>
    <row r="21" spans="1:57" x14ac:dyDescent="0.25">
      <c r="A21">
        <v>19</v>
      </c>
      <c r="B21" t="s">
        <v>23</v>
      </c>
      <c r="C21" t="s">
        <v>25</v>
      </c>
      <c r="E21" t="s">
        <v>24</v>
      </c>
      <c r="F21">
        <v>499999.99999999901</v>
      </c>
      <c r="G21">
        <v>499999.99999999901</v>
      </c>
      <c r="H21" s="27">
        <v>3.6999999999999998E-2</v>
      </c>
      <c r="I21" t="s">
        <v>23</v>
      </c>
      <c r="J21" t="s">
        <v>23</v>
      </c>
      <c r="K21" t="s">
        <v>23</v>
      </c>
      <c r="L21" t="s">
        <v>21</v>
      </c>
      <c r="M21" t="s">
        <v>20</v>
      </c>
      <c r="N21" t="s">
        <v>19</v>
      </c>
      <c r="O21" t="s">
        <v>18</v>
      </c>
      <c r="P21">
        <v>20</v>
      </c>
      <c r="Q21" t="s">
        <v>152</v>
      </c>
      <c r="R21" t="s">
        <v>22</v>
      </c>
      <c r="S21" t="s">
        <v>23</v>
      </c>
      <c r="T21" t="s">
        <v>23</v>
      </c>
      <c r="AD21" s="27">
        <v>0</v>
      </c>
      <c r="AE21">
        <v>0</v>
      </c>
      <c r="AF21">
        <v>0</v>
      </c>
      <c r="AG21" s="27">
        <v>0</v>
      </c>
      <c r="AH21" s="27">
        <v>0</v>
      </c>
      <c r="AI21" s="16">
        <v>0</v>
      </c>
      <c r="AJ21" s="33">
        <v>0</v>
      </c>
      <c r="AZ21">
        <v>4.9999999999999913E-2</v>
      </c>
      <c r="BE21">
        <v>1.8499999999999966E-3</v>
      </c>
    </row>
    <row r="22" spans="1:57" x14ac:dyDescent="0.25">
      <c r="G22" s="25">
        <f>SUM(G2:G21)</f>
        <v>9999999.9999999981</v>
      </c>
      <c r="Y22" s="25">
        <f>SUM(Y2:Y20)</f>
        <v>0</v>
      </c>
      <c r="Z22" s="25">
        <f>SUM(Z2:Z20)</f>
        <v>0</v>
      </c>
      <c r="AB22" s="25">
        <f>SUM(AB2:AB20)</f>
        <v>0</v>
      </c>
      <c r="AC22" s="25">
        <f>SUM(AC2:AC20)</f>
        <v>9500000</v>
      </c>
      <c r="AE22" s="16">
        <f>SUM(AE2:AE20)</f>
        <v>0</v>
      </c>
      <c r="AS22" s="34">
        <f>SUM(AS2:AS20)</f>
        <v>5.177295921888616E-2</v>
      </c>
    </row>
    <row r="23" spans="1:57" x14ac:dyDescent="0.25">
      <c r="Y23" s="16">
        <f>Y22/G22*SQRT(12)</f>
        <v>0</v>
      </c>
      <c r="Z23" s="16">
        <f>Z22/G22</f>
        <v>0</v>
      </c>
      <c r="AB23" s="16">
        <f>AB22/$G$22</f>
        <v>0</v>
      </c>
      <c r="AC23" s="16">
        <f>AC22/$G$22</f>
        <v>0.95000000000000018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workbookViewId="0">
      <selection activeCell="G1" sqref="G1:I1"/>
    </sheetView>
  </sheetViews>
  <sheetFormatPr defaultRowHeight="15" x14ac:dyDescent="0.25"/>
  <cols>
    <col min="1" max="1" width="18.7109375" customWidth="1"/>
    <col min="6" max="6" width="34.42578125" customWidth="1"/>
    <col min="8" max="8" width="25" customWidth="1"/>
    <col min="9" max="9" width="29.5703125" customWidth="1"/>
  </cols>
  <sheetData>
    <row r="1" spans="1:15" x14ac:dyDescent="0.25">
      <c r="A1" t="s">
        <v>132</v>
      </c>
      <c r="B1" t="s">
        <v>127</v>
      </c>
      <c r="C1" t="s">
        <v>157</v>
      </c>
      <c r="D1" t="s">
        <v>128</v>
      </c>
      <c r="E1" t="s">
        <v>129</v>
      </c>
      <c r="F1" t="s">
        <v>130</v>
      </c>
      <c r="G1" t="s">
        <v>118</v>
      </c>
      <c r="H1" t="s">
        <v>122</v>
      </c>
      <c r="I1" t="s">
        <v>121</v>
      </c>
      <c r="J1" t="s">
        <v>158</v>
      </c>
      <c r="K1" t="s">
        <v>159</v>
      </c>
      <c r="L1" t="s">
        <v>160</v>
      </c>
      <c r="M1" t="s">
        <v>161</v>
      </c>
      <c r="N1" t="s">
        <v>162</v>
      </c>
      <c r="O1" t="s">
        <v>163</v>
      </c>
    </row>
    <row r="2" spans="1:15" x14ac:dyDescent="0.25">
      <c r="A2" t="s">
        <v>135</v>
      </c>
      <c r="E2" t="s">
        <v>97</v>
      </c>
      <c r="F2" t="s">
        <v>98</v>
      </c>
      <c r="H2" t="s">
        <v>79</v>
      </c>
      <c r="I2" t="s">
        <v>78</v>
      </c>
    </row>
    <row r="3" spans="1:15" x14ac:dyDescent="0.25">
      <c r="A3" t="s">
        <v>136</v>
      </c>
      <c r="B3" t="s">
        <v>164</v>
      </c>
      <c r="E3" t="s">
        <v>93</v>
      </c>
      <c r="F3" t="s">
        <v>94</v>
      </c>
      <c r="H3" t="s">
        <v>79</v>
      </c>
      <c r="I3" t="s">
        <v>91</v>
      </c>
    </row>
    <row r="4" spans="1:15" x14ac:dyDescent="0.25">
      <c r="A4" t="s">
        <v>137</v>
      </c>
      <c r="E4" t="s">
        <v>87</v>
      </c>
      <c r="F4" t="s">
        <v>88</v>
      </c>
      <c r="H4" t="s">
        <v>79</v>
      </c>
      <c r="I4" t="s">
        <v>78</v>
      </c>
    </row>
    <row r="5" spans="1:15" x14ac:dyDescent="0.25">
      <c r="A5" t="s">
        <v>138</v>
      </c>
      <c r="E5" t="s">
        <v>81</v>
      </c>
      <c r="F5" t="s">
        <v>82</v>
      </c>
      <c r="H5" t="s">
        <v>79</v>
      </c>
      <c r="I5" t="s">
        <v>78</v>
      </c>
    </row>
    <row r="6" spans="1:15" x14ac:dyDescent="0.25">
      <c r="A6" t="s">
        <v>139</v>
      </c>
      <c r="E6" t="s">
        <v>74</v>
      </c>
      <c r="F6" t="s">
        <v>75</v>
      </c>
      <c r="H6" t="s">
        <v>47</v>
      </c>
      <c r="I6" t="s">
        <v>51</v>
      </c>
    </row>
    <row r="7" spans="1:15" x14ac:dyDescent="0.25">
      <c r="A7" t="s">
        <v>140</v>
      </c>
      <c r="E7" t="s">
        <v>71</v>
      </c>
      <c r="F7" t="s">
        <v>72</v>
      </c>
      <c r="H7" t="s">
        <v>47</v>
      </c>
      <c r="I7" t="s">
        <v>51</v>
      </c>
    </row>
    <row r="8" spans="1:15" x14ac:dyDescent="0.25">
      <c r="A8" t="s">
        <v>142</v>
      </c>
      <c r="B8" t="s">
        <v>165</v>
      </c>
      <c r="E8" t="s">
        <v>65</v>
      </c>
      <c r="F8" t="s">
        <v>66</v>
      </c>
      <c r="H8" t="s">
        <v>47</v>
      </c>
      <c r="I8" t="s">
        <v>46</v>
      </c>
    </row>
    <row r="9" spans="1:15" x14ac:dyDescent="0.25">
      <c r="A9" t="s">
        <v>143</v>
      </c>
      <c r="B9" t="s">
        <v>166</v>
      </c>
      <c r="E9" t="s">
        <v>62</v>
      </c>
      <c r="F9" t="s">
        <v>63</v>
      </c>
      <c r="H9" t="s">
        <v>47</v>
      </c>
      <c r="I9" t="s">
        <v>46</v>
      </c>
    </row>
    <row r="10" spans="1:15" x14ac:dyDescent="0.25">
      <c r="A10" t="s">
        <v>144</v>
      </c>
      <c r="E10" t="s">
        <v>59</v>
      </c>
      <c r="F10" t="s">
        <v>60</v>
      </c>
      <c r="H10" t="s">
        <v>47</v>
      </c>
      <c r="I10" t="s">
        <v>51</v>
      </c>
    </row>
    <row r="11" spans="1:15" x14ac:dyDescent="0.25">
      <c r="A11" t="s">
        <v>145</v>
      </c>
      <c r="E11" t="s">
        <v>53</v>
      </c>
      <c r="F11" t="s">
        <v>54</v>
      </c>
      <c r="H11" t="s">
        <v>47</v>
      </c>
      <c r="I11" t="s">
        <v>51</v>
      </c>
    </row>
    <row r="12" spans="1:15" x14ac:dyDescent="0.25">
      <c r="A12" t="s">
        <v>146</v>
      </c>
      <c r="B12" t="s">
        <v>167</v>
      </c>
      <c r="E12" t="s">
        <v>49</v>
      </c>
      <c r="F12" t="s">
        <v>50</v>
      </c>
      <c r="H12" t="s">
        <v>47</v>
      </c>
      <c r="I12" t="s">
        <v>46</v>
      </c>
    </row>
    <row r="13" spans="1:15" x14ac:dyDescent="0.25">
      <c r="A13" t="s">
        <v>152</v>
      </c>
      <c r="B13" t="s">
        <v>24</v>
      </c>
      <c r="F13" t="s">
        <v>168</v>
      </c>
      <c r="G13" t="s">
        <v>22</v>
      </c>
      <c r="H13" t="s">
        <v>23</v>
      </c>
      <c r="I13" t="s">
        <v>23</v>
      </c>
    </row>
    <row r="14" spans="1:15" x14ac:dyDescent="0.25">
      <c r="A14" t="s">
        <v>150</v>
      </c>
      <c r="D14" t="s">
        <v>32</v>
      </c>
      <c r="F14" t="s">
        <v>33</v>
      </c>
      <c r="G14" t="s">
        <v>22</v>
      </c>
      <c r="H14" t="s">
        <v>27</v>
      </c>
      <c r="I14" t="s">
        <v>26</v>
      </c>
    </row>
    <row r="15" spans="1:15" x14ac:dyDescent="0.25">
      <c r="A15" t="s">
        <v>151</v>
      </c>
      <c r="D15" t="s">
        <v>29</v>
      </c>
      <c r="F15" t="s">
        <v>30</v>
      </c>
      <c r="G15" t="s">
        <v>22</v>
      </c>
      <c r="H15" t="s">
        <v>27</v>
      </c>
      <c r="I15" t="s">
        <v>26</v>
      </c>
    </row>
    <row r="16" spans="1:15" x14ac:dyDescent="0.25">
      <c r="A16" t="s">
        <v>149</v>
      </c>
      <c r="B16" t="s">
        <v>169</v>
      </c>
      <c r="D16" t="s">
        <v>36</v>
      </c>
      <c r="F16" t="s">
        <v>37</v>
      </c>
      <c r="G16" t="s">
        <v>22</v>
      </c>
      <c r="H16" t="s">
        <v>27</v>
      </c>
      <c r="I16" t="s">
        <v>26</v>
      </c>
    </row>
    <row r="17" spans="1:15" x14ac:dyDescent="0.25">
      <c r="A17" t="s">
        <v>147</v>
      </c>
      <c r="B17" t="s">
        <v>170</v>
      </c>
      <c r="D17" t="s">
        <v>44</v>
      </c>
      <c r="F17" t="s">
        <v>45</v>
      </c>
      <c r="G17" t="s">
        <v>22</v>
      </c>
      <c r="H17" t="s">
        <v>27</v>
      </c>
      <c r="I17" t="s">
        <v>39</v>
      </c>
    </row>
    <row r="18" spans="1:15" x14ac:dyDescent="0.25">
      <c r="A18" t="s">
        <v>148</v>
      </c>
      <c r="D18" t="s">
        <v>41</v>
      </c>
      <c r="F18" t="s">
        <v>42</v>
      </c>
      <c r="G18" t="s">
        <v>22</v>
      </c>
      <c r="H18" t="s">
        <v>27</v>
      </c>
      <c r="I18" t="s">
        <v>39</v>
      </c>
    </row>
    <row r="19" spans="1:15" x14ac:dyDescent="0.25">
      <c r="A19" t="s">
        <v>133</v>
      </c>
      <c r="B19" t="s">
        <v>171</v>
      </c>
      <c r="E19" t="s">
        <v>106</v>
      </c>
      <c r="F19" t="s">
        <v>107</v>
      </c>
      <c r="H19" t="s">
        <v>79</v>
      </c>
      <c r="I19" t="s">
        <v>91</v>
      </c>
    </row>
    <row r="20" spans="1:15" x14ac:dyDescent="0.25">
      <c r="A20" t="s">
        <v>141</v>
      </c>
      <c r="B20" t="s">
        <v>172</v>
      </c>
      <c r="E20" t="s">
        <v>68</v>
      </c>
      <c r="F20" t="s">
        <v>69</v>
      </c>
      <c r="H20" t="s">
        <v>47</v>
      </c>
      <c r="I20" t="s">
        <v>46</v>
      </c>
      <c r="L20" t="s">
        <v>172</v>
      </c>
    </row>
    <row r="21" spans="1:15" x14ac:dyDescent="0.25">
      <c r="A21" t="s">
        <v>134</v>
      </c>
      <c r="B21" t="s">
        <v>105</v>
      </c>
      <c r="D21" t="s">
        <v>173</v>
      </c>
      <c r="E21" t="s">
        <v>102</v>
      </c>
      <c r="F21" t="s">
        <v>174</v>
      </c>
      <c r="G21" t="s">
        <v>22</v>
      </c>
      <c r="H21" t="s">
        <v>79</v>
      </c>
      <c r="I21" t="s">
        <v>91</v>
      </c>
      <c r="J21" t="s">
        <v>175</v>
      </c>
      <c r="K21" t="s">
        <v>176</v>
      </c>
      <c r="L21" t="s">
        <v>177</v>
      </c>
      <c r="M21" s="11">
        <v>40317</v>
      </c>
      <c r="N21" s="11">
        <v>45184</v>
      </c>
      <c r="O21">
        <v>3354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topLeftCell="B1" workbookViewId="0">
      <selection activeCell="L1" sqref="L1:Q1"/>
    </sheetView>
  </sheetViews>
  <sheetFormatPr defaultRowHeight="15" x14ac:dyDescent="0.25"/>
  <cols>
    <col min="3" max="3" width="15.42578125" customWidth="1"/>
    <col min="4" max="4" width="14.5703125" customWidth="1"/>
    <col min="7" max="7" width="13.85546875" customWidth="1"/>
    <col min="8" max="8" width="14" customWidth="1"/>
    <col min="9" max="9" width="18" bestFit="1" customWidth="1"/>
    <col min="10" max="10" width="10.7109375" bestFit="1" customWidth="1"/>
    <col min="11" max="11" width="15.28515625" bestFit="1" customWidth="1"/>
    <col min="12" max="12" width="17.7109375" bestFit="1" customWidth="1"/>
    <col min="13" max="13" width="14.5703125" customWidth="1"/>
    <col min="14" max="14" width="15.28515625" customWidth="1"/>
    <col min="15" max="15" width="13" customWidth="1"/>
    <col min="16" max="16" width="22.5703125" customWidth="1"/>
    <col min="17" max="17" width="12.7109375" bestFit="1" customWidth="1"/>
  </cols>
  <sheetData>
    <row r="1" spans="1:17" x14ac:dyDescent="0.25">
      <c r="A1" t="s">
        <v>219</v>
      </c>
      <c r="B1" t="s">
        <v>118</v>
      </c>
      <c r="C1" t="s">
        <v>129</v>
      </c>
      <c r="D1" t="s">
        <v>128</v>
      </c>
      <c r="E1" t="s">
        <v>127</v>
      </c>
      <c r="F1" t="s">
        <v>218</v>
      </c>
      <c r="G1" t="s">
        <v>217</v>
      </c>
      <c r="H1" t="s">
        <v>216</v>
      </c>
      <c r="I1" t="s">
        <v>215</v>
      </c>
      <c r="J1" t="s">
        <v>214</v>
      </c>
      <c r="K1" t="s">
        <v>213</v>
      </c>
      <c r="L1" t="s">
        <v>212</v>
      </c>
      <c r="M1" t="s">
        <v>211</v>
      </c>
      <c r="N1" t="s">
        <v>210</v>
      </c>
      <c r="O1" t="s">
        <v>209</v>
      </c>
      <c r="P1" t="s">
        <v>208</v>
      </c>
      <c r="Q1" t="s">
        <v>207</v>
      </c>
    </row>
    <row r="2" spans="1:17" x14ac:dyDescent="0.25">
      <c r="A2" t="s">
        <v>206</v>
      </c>
      <c r="B2" t="s">
        <v>22</v>
      </c>
      <c r="C2" t="s">
        <v>205</v>
      </c>
      <c r="F2">
        <v>100</v>
      </c>
      <c r="G2">
        <v>112.22</v>
      </c>
      <c r="H2" s="11">
        <v>44985</v>
      </c>
      <c r="I2">
        <v>11222</v>
      </c>
      <c r="J2" t="s">
        <v>47</v>
      </c>
      <c r="K2" t="s">
        <v>185</v>
      </c>
    </row>
    <row r="3" spans="1:17" x14ac:dyDescent="0.25">
      <c r="A3" t="s">
        <v>204</v>
      </c>
      <c r="B3" t="s">
        <v>22</v>
      </c>
      <c r="C3" t="s">
        <v>203</v>
      </c>
      <c r="D3" t="s">
        <v>202</v>
      </c>
      <c r="F3">
        <v>100</v>
      </c>
      <c r="G3">
        <v>0.93</v>
      </c>
      <c r="H3" s="11">
        <v>44985</v>
      </c>
      <c r="I3">
        <v>93</v>
      </c>
      <c r="J3" t="s">
        <v>47</v>
      </c>
      <c r="K3" t="s">
        <v>47</v>
      </c>
      <c r="L3">
        <v>2</v>
      </c>
      <c r="M3">
        <v>2.8750000000000001E-2</v>
      </c>
      <c r="N3" s="11">
        <v>47238</v>
      </c>
    </row>
    <row r="4" spans="1:17" x14ac:dyDescent="0.25">
      <c r="A4" t="s">
        <v>201</v>
      </c>
      <c r="B4" t="s">
        <v>22</v>
      </c>
      <c r="C4" t="s">
        <v>200</v>
      </c>
      <c r="D4" t="s">
        <v>199</v>
      </c>
      <c r="F4">
        <v>100</v>
      </c>
      <c r="G4">
        <v>4.87</v>
      </c>
      <c r="H4" s="11">
        <v>44985</v>
      </c>
      <c r="I4">
        <v>487</v>
      </c>
      <c r="J4" t="s">
        <v>47</v>
      </c>
      <c r="K4" t="s">
        <v>46</v>
      </c>
    </row>
    <row r="5" spans="1:17" x14ac:dyDescent="0.25">
      <c r="A5" t="s">
        <v>198</v>
      </c>
      <c r="B5" t="s">
        <v>22</v>
      </c>
      <c r="C5" t="s">
        <v>197</v>
      </c>
      <c r="F5">
        <v>100</v>
      </c>
      <c r="G5">
        <v>1.04</v>
      </c>
      <c r="H5" s="11">
        <v>44985</v>
      </c>
      <c r="I5">
        <v>104</v>
      </c>
      <c r="J5" t="s">
        <v>47</v>
      </c>
      <c r="K5" t="s">
        <v>196</v>
      </c>
    </row>
    <row r="6" spans="1:17" x14ac:dyDescent="0.25">
      <c r="A6" t="s">
        <v>195</v>
      </c>
      <c r="B6" t="s">
        <v>22</v>
      </c>
      <c r="C6" t="s">
        <v>194</v>
      </c>
      <c r="F6">
        <v>100</v>
      </c>
      <c r="G6">
        <v>188.18</v>
      </c>
      <c r="H6" s="11">
        <v>44985</v>
      </c>
      <c r="I6">
        <v>18818</v>
      </c>
      <c r="J6" t="s">
        <v>79</v>
      </c>
      <c r="K6" t="s">
        <v>91</v>
      </c>
    </row>
    <row r="7" spans="1:17" x14ac:dyDescent="0.25">
      <c r="A7" t="s">
        <v>193</v>
      </c>
      <c r="B7" t="s">
        <v>22</v>
      </c>
      <c r="C7" t="s">
        <v>192</v>
      </c>
      <c r="D7">
        <v>884903709</v>
      </c>
      <c r="F7">
        <v>100</v>
      </c>
      <c r="G7">
        <v>121.03</v>
      </c>
      <c r="H7" s="11">
        <v>44985</v>
      </c>
      <c r="I7">
        <v>12103</v>
      </c>
      <c r="J7" t="s">
        <v>79</v>
      </c>
      <c r="K7" t="s">
        <v>79</v>
      </c>
    </row>
    <row r="8" spans="1:17" x14ac:dyDescent="0.25">
      <c r="A8" t="s">
        <v>191</v>
      </c>
      <c r="B8" t="s">
        <v>22</v>
      </c>
      <c r="C8" t="s">
        <v>190</v>
      </c>
      <c r="F8">
        <v>100</v>
      </c>
      <c r="G8">
        <v>137.94999999999999</v>
      </c>
      <c r="H8" s="11">
        <v>44985</v>
      </c>
      <c r="I8">
        <v>13795</v>
      </c>
      <c r="J8" t="s">
        <v>79</v>
      </c>
      <c r="K8" t="s">
        <v>78</v>
      </c>
    </row>
    <row r="9" spans="1:17" x14ac:dyDescent="0.25">
      <c r="A9" t="s">
        <v>189</v>
      </c>
      <c r="B9" t="s">
        <v>188</v>
      </c>
      <c r="C9" t="s">
        <v>187</v>
      </c>
      <c r="D9" t="s">
        <v>186</v>
      </c>
      <c r="F9">
        <v>100</v>
      </c>
      <c r="G9">
        <v>37.21</v>
      </c>
      <c r="H9" s="11">
        <v>44985</v>
      </c>
      <c r="I9">
        <v>3721</v>
      </c>
      <c r="J9" t="s">
        <v>79</v>
      </c>
      <c r="K9" t="s">
        <v>185</v>
      </c>
    </row>
    <row r="10" spans="1:17" x14ac:dyDescent="0.25">
      <c r="A10" t="s">
        <v>184</v>
      </c>
      <c r="B10" t="s">
        <v>22</v>
      </c>
      <c r="D10" t="s">
        <v>183</v>
      </c>
      <c r="F10">
        <v>100</v>
      </c>
      <c r="G10">
        <v>199.91</v>
      </c>
      <c r="H10" s="11">
        <v>44985</v>
      </c>
      <c r="I10">
        <v>19991</v>
      </c>
      <c r="J10" t="s">
        <v>182</v>
      </c>
      <c r="K10" t="s">
        <v>181</v>
      </c>
      <c r="N10" s="11">
        <v>45135</v>
      </c>
      <c r="O10" t="s">
        <v>180</v>
      </c>
      <c r="P10" t="s">
        <v>179</v>
      </c>
      <c r="Q10">
        <v>4060</v>
      </c>
    </row>
    <row r="11" spans="1:17" x14ac:dyDescent="0.25">
      <c r="A11" t="s">
        <v>178</v>
      </c>
      <c r="B11" t="s">
        <v>22</v>
      </c>
      <c r="F11">
        <v>100</v>
      </c>
      <c r="G11">
        <v>1</v>
      </c>
      <c r="H11" s="11">
        <v>44316</v>
      </c>
      <c r="I11">
        <v>100</v>
      </c>
      <c r="J11" t="s">
        <v>23</v>
      </c>
      <c r="K11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2"/>
  <sheetViews>
    <sheetView workbookViewId="0">
      <pane xSplit="1" ySplit="1" topLeftCell="B232" activePane="bottomRight" state="frozen"/>
      <selection pane="topRight" activeCell="B1" sqref="B1"/>
      <selection pane="bottomLeft" activeCell="A2" sqref="A2"/>
      <selection pane="bottomRight" activeCell="T262" sqref="T262"/>
    </sheetView>
  </sheetViews>
  <sheetFormatPr defaultRowHeight="15" x14ac:dyDescent="0.25"/>
  <cols>
    <col min="1" max="1" width="15" customWidth="1"/>
    <col min="2" max="20" width="10.85546875" customWidth="1"/>
  </cols>
  <sheetData>
    <row r="1" spans="1:20" x14ac:dyDescent="0.25">
      <c r="A1" t="s">
        <v>220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</row>
    <row r="2" spans="1:20" x14ac:dyDescent="0.25">
      <c r="A2" s="11">
        <v>44742</v>
      </c>
      <c r="B2">
        <v>63.729999542236328</v>
      </c>
      <c r="C2">
        <v>388.20001220703131</v>
      </c>
      <c r="D2">
        <v>21.440000534057617</v>
      </c>
      <c r="E2">
        <v>157.19999694824219</v>
      </c>
      <c r="F2">
        <v>204.27</v>
      </c>
      <c r="G2">
        <v>74.88</v>
      </c>
      <c r="H2">
        <v>11.119999885559082</v>
      </c>
      <c r="I2">
        <v>11.25</v>
      </c>
      <c r="J2">
        <v>5.3579998016357422</v>
      </c>
      <c r="K2">
        <v>5.4149999618530273</v>
      </c>
      <c r="L2">
        <v>110.36000061035156</v>
      </c>
      <c r="M2">
        <v>21.44</v>
      </c>
      <c r="N2">
        <v>32.99</v>
      </c>
      <c r="O2">
        <v>84.152000427246094</v>
      </c>
      <c r="P2">
        <v>1.673585106859292</v>
      </c>
      <c r="Q2">
        <v>1.6277525932538746</v>
      </c>
      <c r="R2">
        <v>1.1076285703529536</v>
      </c>
      <c r="S2">
        <v>1.0306194909050672</v>
      </c>
      <c r="T2">
        <v>1</v>
      </c>
    </row>
    <row r="3" spans="1:20" x14ac:dyDescent="0.25">
      <c r="A3" s="11">
        <v>44743</v>
      </c>
      <c r="B3">
        <v>64.379997253417969</v>
      </c>
      <c r="C3">
        <v>388.29998779296881</v>
      </c>
      <c r="D3">
        <v>21.549999237060547</v>
      </c>
      <c r="E3">
        <v>157.91999816894531</v>
      </c>
      <c r="F3">
        <v>206.69</v>
      </c>
      <c r="G3">
        <v>75.349999999999994</v>
      </c>
      <c r="H3">
        <v>11.149999618530272</v>
      </c>
      <c r="I3">
        <v>11.270000457763672</v>
      </c>
      <c r="J3">
        <v>5.3807001113891602</v>
      </c>
      <c r="K3">
        <v>5.4650001525878906</v>
      </c>
      <c r="L3">
        <v>110.66000366210938</v>
      </c>
      <c r="M3">
        <v>21.53</v>
      </c>
      <c r="N3">
        <v>32.880000000000003</v>
      </c>
      <c r="O3">
        <v>85.463996887207031</v>
      </c>
      <c r="P3">
        <v>1.6793822884751484</v>
      </c>
    </row>
    <row r="4" spans="1:20" x14ac:dyDescent="0.25">
      <c r="A4" s="11">
        <v>44746</v>
      </c>
      <c r="C4">
        <v>391.04998779296881</v>
      </c>
      <c r="E4">
        <v>158.67999267578125</v>
      </c>
      <c r="F4">
        <v>207.69</v>
      </c>
      <c r="K4">
        <v>5.4660000801086426</v>
      </c>
      <c r="L4">
        <v>110.5500030517578</v>
      </c>
      <c r="N4">
        <v>32.93</v>
      </c>
      <c r="O4">
        <v>85.461997985839844</v>
      </c>
      <c r="P4">
        <v>1.6638362242456488</v>
      </c>
    </row>
    <row r="5" spans="1:20" x14ac:dyDescent="0.25">
      <c r="A5" s="11">
        <v>44747</v>
      </c>
      <c r="B5">
        <v>65.220001220703125</v>
      </c>
      <c r="C5">
        <v>385.54998779296881</v>
      </c>
      <c r="D5">
        <v>21.889999389648441</v>
      </c>
      <c r="E5">
        <v>158.22000122070313</v>
      </c>
      <c r="F5">
        <v>204.13</v>
      </c>
      <c r="G5">
        <v>75.150000000000006</v>
      </c>
      <c r="H5">
        <v>11.149999618530272</v>
      </c>
      <c r="I5">
        <v>11.279999732971191</v>
      </c>
      <c r="J5">
        <v>5.3812999725341797</v>
      </c>
      <c r="K5">
        <v>5.4840002059936523</v>
      </c>
      <c r="L5">
        <v>110.51000213623048</v>
      </c>
      <c r="M5">
        <v>21.47</v>
      </c>
      <c r="N5">
        <v>32.76</v>
      </c>
      <c r="O5">
        <v>86.375999450683594</v>
      </c>
      <c r="P5">
        <v>1.6595026533468278</v>
      </c>
    </row>
    <row r="6" spans="1:20" x14ac:dyDescent="0.25">
      <c r="A6" s="11">
        <v>44748</v>
      </c>
      <c r="B6">
        <v>65.230003356933594</v>
      </c>
      <c r="C6">
        <v>390.79998779296881</v>
      </c>
      <c r="D6">
        <v>21.809999465942383</v>
      </c>
      <c r="E6">
        <v>161.19999694824219</v>
      </c>
      <c r="F6">
        <v>208.11</v>
      </c>
      <c r="G6">
        <v>75.5</v>
      </c>
      <c r="H6">
        <v>11.130000114440918</v>
      </c>
      <c r="I6">
        <v>11.260000228881836</v>
      </c>
      <c r="J6">
        <v>5.3803000450134277</v>
      </c>
      <c r="K6">
        <v>5.4619998931884766</v>
      </c>
      <c r="L6">
        <v>110.59999847412109</v>
      </c>
      <c r="M6">
        <v>21.49</v>
      </c>
      <c r="N6">
        <v>32.89</v>
      </c>
      <c r="O6">
        <v>87.356002807617188</v>
      </c>
      <c r="P6">
        <v>1.6548413875472074</v>
      </c>
    </row>
    <row r="7" spans="1:20" x14ac:dyDescent="0.25">
      <c r="A7" s="11">
        <v>44749</v>
      </c>
      <c r="B7">
        <v>66.239997863769531</v>
      </c>
      <c r="C7">
        <v>399.20001220703131</v>
      </c>
      <c r="D7">
        <v>22.219999313354489</v>
      </c>
      <c r="E7">
        <v>164.58000183105469</v>
      </c>
      <c r="F7">
        <v>208.97</v>
      </c>
      <c r="G7">
        <v>76.19</v>
      </c>
      <c r="H7">
        <v>11.119999885559082</v>
      </c>
      <c r="I7">
        <v>11.260000228881836</v>
      </c>
      <c r="J7">
        <v>5.3600001335144043</v>
      </c>
      <c r="K7">
        <v>5.4524998664855957</v>
      </c>
      <c r="L7">
        <v>110.13500213623048</v>
      </c>
      <c r="M7">
        <v>21.64</v>
      </c>
      <c r="N7">
        <v>32.97</v>
      </c>
      <c r="O7">
        <v>88.337997436523438</v>
      </c>
      <c r="P7">
        <v>1.6544153155788595</v>
      </c>
    </row>
    <row r="8" spans="1:20" x14ac:dyDescent="0.25">
      <c r="A8" s="11">
        <v>44750</v>
      </c>
      <c r="B8">
        <v>66.029998779296875</v>
      </c>
      <c r="C8">
        <v>402.04998779296881</v>
      </c>
      <c r="D8">
        <v>22.209999084472656</v>
      </c>
      <c r="E8">
        <v>165.3800048828125</v>
      </c>
      <c r="F8">
        <v>207.69</v>
      </c>
      <c r="G8">
        <v>76</v>
      </c>
      <c r="H8">
        <v>11.109999656677246</v>
      </c>
      <c r="I8">
        <v>11.260000228881836</v>
      </c>
      <c r="J8">
        <v>5.3600001335144043</v>
      </c>
      <c r="K8">
        <v>5.434999942779541</v>
      </c>
      <c r="L8">
        <v>110.31999969482422</v>
      </c>
      <c r="M8">
        <v>21.69</v>
      </c>
      <c r="N8">
        <v>33.119999999999997</v>
      </c>
      <c r="O8">
        <v>88.597999572753906</v>
      </c>
      <c r="P8">
        <v>1.6621182776313275</v>
      </c>
    </row>
    <row r="9" spans="1:20" x14ac:dyDescent="0.25">
      <c r="A9" s="11">
        <v>44753</v>
      </c>
      <c r="B9">
        <v>64.970001220703125</v>
      </c>
      <c r="C9">
        <v>396.85000610351563</v>
      </c>
      <c r="D9">
        <v>21.920000076293945</v>
      </c>
      <c r="E9">
        <v>164.36000061035156</v>
      </c>
      <c r="F9">
        <v>207</v>
      </c>
      <c r="G9">
        <v>75.209999999999994</v>
      </c>
      <c r="H9">
        <v>11.119999885559082</v>
      </c>
      <c r="I9">
        <v>11.270000457763672</v>
      </c>
      <c r="J9">
        <v>5.3600001335144043</v>
      </c>
      <c r="K9">
        <v>5.4730000495910645</v>
      </c>
      <c r="L9">
        <v>110.29000091552734</v>
      </c>
      <c r="M9">
        <v>21.7</v>
      </c>
      <c r="N9">
        <v>33.14</v>
      </c>
      <c r="O9">
        <v>89.19000244140625</v>
      </c>
      <c r="P9">
        <v>1.6628873722685775</v>
      </c>
    </row>
    <row r="10" spans="1:20" x14ac:dyDescent="0.25">
      <c r="A10" s="11">
        <v>44754</v>
      </c>
      <c r="B10">
        <v>64.480003356933594</v>
      </c>
      <c r="C10">
        <v>396.45001220703131</v>
      </c>
      <c r="D10">
        <v>21.780000686645508</v>
      </c>
      <c r="E10">
        <v>164.58000183105469</v>
      </c>
      <c r="F10">
        <v>207</v>
      </c>
      <c r="G10">
        <v>74.290000000000006</v>
      </c>
      <c r="H10">
        <v>11.130000114440918</v>
      </c>
      <c r="I10">
        <v>11.279999732971191</v>
      </c>
      <c r="J10">
        <v>5.365300178527832</v>
      </c>
      <c r="K10">
        <v>5.4904999732971191</v>
      </c>
      <c r="L10">
        <v>110.30999755859376</v>
      </c>
      <c r="M10">
        <v>21.71</v>
      </c>
      <c r="N10">
        <v>33.14</v>
      </c>
      <c r="O10">
        <v>89.746002197265625</v>
      </c>
      <c r="P10">
        <v>1.6615497351605912</v>
      </c>
    </row>
    <row r="11" spans="1:20" x14ac:dyDescent="0.25">
      <c r="A11" s="11">
        <v>44755</v>
      </c>
      <c r="B11">
        <v>64.150001525878906</v>
      </c>
      <c r="C11">
        <v>390.85000610351563</v>
      </c>
      <c r="D11">
        <v>21.569999694824219</v>
      </c>
      <c r="E11">
        <v>162.16000366210938</v>
      </c>
      <c r="F11">
        <v>202.48</v>
      </c>
      <c r="G11">
        <v>74.099999999999994</v>
      </c>
      <c r="H11">
        <v>11.119999885559082</v>
      </c>
      <c r="I11">
        <v>11.270000457763672</v>
      </c>
      <c r="J11">
        <v>5.3680000305175781</v>
      </c>
      <c r="K11">
        <v>5.4600000381469727</v>
      </c>
      <c r="L11">
        <v>110.27999877929688</v>
      </c>
      <c r="M11">
        <v>21.7</v>
      </c>
      <c r="N11">
        <v>33.119999999999997</v>
      </c>
      <c r="O11">
        <v>89.139999389648438</v>
      </c>
      <c r="P11">
        <v>1.6580812507212879</v>
      </c>
    </row>
    <row r="12" spans="1:20" x14ac:dyDescent="0.25">
      <c r="A12" s="11">
        <v>44756</v>
      </c>
      <c r="B12">
        <v>63.840000152587891</v>
      </c>
      <c r="C12">
        <v>385.5</v>
      </c>
      <c r="D12">
        <v>21.219999313354489</v>
      </c>
      <c r="E12">
        <v>160.86000061035156</v>
      </c>
      <c r="F12">
        <v>200.36</v>
      </c>
      <c r="G12">
        <v>73.7</v>
      </c>
      <c r="H12">
        <v>11.109999656677246</v>
      </c>
      <c r="I12">
        <v>11.25</v>
      </c>
      <c r="J12">
        <v>5.3400001525878906</v>
      </c>
      <c r="K12">
        <v>5.4780001640319824</v>
      </c>
      <c r="L12">
        <v>110.02999877929688</v>
      </c>
      <c r="M12">
        <v>21.63</v>
      </c>
      <c r="N12">
        <v>33.07</v>
      </c>
      <c r="O12">
        <v>89.153999328613281</v>
      </c>
      <c r="P12">
        <v>1.6376220379192381</v>
      </c>
    </row>
    <row r="13" spans="1:20" x14ac:dyDescent="0.25">
      <c r="A13" s="11">
        <v>44757</v>
      </c>
      <c r="B13">
        <v>65.150001525878906</v>
      </c>
      <c r="C13">
        <v>396.04998779296881</v>
      </c>
      <c r="D13">
        <v>21.629999160766602</v>
      </c>
      <c r="E13">
        <v>163.52000427246094</v>
      </c>
      <c r="F13">
        <v>205.05</v>
      </c>
      <c r="G13">
        <v>75.17</v>
      </c>
      <c r="H13">
        <v>11.119999885559082</v>
      </c>
      <c r="I13">
        <v>11.270000457763672</v>
      </c>
      <c r="J13">
        <v>5.3729000091552734</v>
      </c>
      <c r="K13">
        <v>5.5199999809265137</v>
      </c>
      <c r="L13">
        <v>110.1750030517578</v>
      </c>
      <c r="M13">
        <v>21.72</v>
      </c>
      <c r="N13">
        <v>33.04</v>
      </c>
      <c r="O13">
        <v>89.91400146484375</v>
      </c>
      <c r="P13">
        <v>1.6574523595114135</v>
      </c>
    </row>
    <row r="14" spans="1:20" x14ac:dyDescent="0.25">
      <c r="A14" s="11">
        <v>44760</v>
      </c>
      <c r="B14">
        <v>64.739997863769531</v>
      </c>
      <c r="C14">
        <v>399.60000610351563</v>
      </c>
      <c r="D14">
        <v>21.579999923706051</v>
      </c>
      <c r="E14">
        <v>164.41999816894531</v>
      </c>
      <c r="F14">
        <v>207.25</v>
      </c>
      <c r="G14">
        <v>74.709999999999994</v>
      </c>
      <c r="H14">
        <v>11.119999885559082</v>
      </c>
      <c r="I14">
        <v>11.289999961853027</v>
      </c>
      <c r="J14">
        <v>5.320000171661377</v>
      </c>
      <c r="K14">
        <v>5.4825000762939453</v>
      </c>
      <c r="L14">
        <v>110.12000274658205</v>
      </c>
      <c r="M14">
        <v>21.79</v>
      </c>
      <c r="N14">
        <v>33.18</v>
      </c>
      <c r="O14">
        <v>89.606002807617188</v>
      </c>
      <c r="P14">
        <v>1.652943187186773</v>
      </c>
    </row>
    <row r="15" spans="1:20" x14ac:dyDescent="0.25">
      <c r="A15" s="11">
        <v>44761</v>
      </c>
      <c r="B15">
        <v>66.849998474121094</v>
      </c>
      <c r="C15">
        <v>401.54998779296881</v>
      </c>
      <c r="D15">
        <v>22.020000457763672</v>
      </c>
      <c r="E15">
        <v>164.58000183105469</v>
      </c>
      <c r="F15">
        <v>207.16</v>
      </c>
      <c r="G15">
        <v>76.84</v>
      </c>
      <c r="H15">
        <v>11.109999656677246</v>
      </c>
      <c r="I15">
        <v>11.289999961853027</v>
      </c>
      <c r="J15">
        <v>5.3695001602172852</v>
      </c>
      <c r="K15">
        <v>5.4970002174377441</v>
      </c>
      <c r="L15">
        <v>110.03500366210938</v>
      </c>
      <c r="M15">
        <v>21.88</v>
      </c>
      <c r="N15">
        <v>33.229999999999997</v>
      </c>
      <c r="O15">
        <v>89.108001708984375</v>
      </c>
      <c r="P15">
        <v>1.6664167001014114</v>
      </c>
    </row>
    <row r="16" spans="1:20" x14ac:dyDescent="0.25">
      <c r="A16" s="11">
        <v>44762</v>
      </c>
      <c r="B16">
        <v>67.830001831054688</v>
      </c>
      <c r="C16">
        <v>407.35000610351563</v>
      </c>
      <c r="D16">
        <v>22.350000381469727</v>
      </c>
      <c r="E16">
        <v>166.74000549316406</v>
      </c>
      <c r="F16">
        <v>208.65</v>
      </c>
      <c r="G16">
        <v>77.290000000000006</v>
      </c>
      <c r="H16">
        <v>11.109999656677246</v>
      </c>
      <c r="I16">
        <v>11.300000190734863</v>
      </c>
      <c r="J16">
        <v>5.380000114440918</v>
      </c>
      <c r="K16">
        <v>5.4945001602172852</v>
      </c>
      <c r="L16">
        <v>110.0500030517578</v>
      </c>
      <c r="M16">
        <v>22.01</v>
      </c>
      <c r="N16">
        <v>33.340000000000003</v>
      </c>
      <c r="O16">
        <v>90.253997802734375</v>
      </c>
      <c r="P16">
        <v>1.6695049328375207</v>
      </c>
    </row>
    <row r="17" spans="1:20" x14ac:dyDescent="0.25">
      <c r="A17" s="11">
        <v>44763</v>
      </c>
      <c r="B17">
        <v>68.610000610351563</v>
      </c>
      <c r="C17">
        <v>408.14999389648438</v>
      </c>
      <c r="D17">
        <v>22.5</v>
      </c>
      <c r="E17">
        <v>167.10000610351563</v>
      </c>
      <c r="F17">
        <v>211.74</v>
      </c>
      <c r="G17">
        <v>78.86</v>
      </c>
      <c r="H17">
        <v>11.159999847412109</v>
      </c>
      <c r="I17">
        <v>11.350000381469728</v>
      </c>
      <c r="J17">
        <v>5.3899998664855957</v>
      </c>
      <c r="K17">
        <v>5.5430002212524414</v>
      </c>
      <c r="L17">
        <v>109.97000122070313</v>
      </c>
      <c r="M17">
        <v>22.11</v>
      </c>
      <c r="N17">
        <v>33.450000000000003</v>
      </c>
      <c r="O17">
        <v>90.085998535156236</v>
      </c>
      <c r="P17">
        <v>1.6649883909958292</v>
      </c>
    </row>
    <row r="18" spans="1:20" x14ac:dyDescent="0.25">
      <c r="A18" s="11">
        <v>44764</v>
      </c>
      <c r="B18">
        <v>67.80999755859375</v>
      </c>
      <c r="C18">
        <v>408.20001220703131</v>
      </c>
      <c r="D18">
        <v>22.350000381469727</v>
      </c>
      <c r="E18">
        <v>166.82000732421875</v>
      </c>
      <c r="F18">
        <v>214.19</v>
      </c>
      <c r="G18">
        <v>78.47</v>
      </c>
      <c r="H18">
        <v>11.189999580383301</v>
      </c>
      <c r="I18">
        <v>11.380000114440918</v>
      </c>
      <c r="J18">
        <v>5.4190001487731934</v>
      </c>
      <c r="K18">
        <v>5.6044998168945313</v>
      </c>
      <c r="L18">
        <v>110.55999755859376</v>
      </c>
      <c r="M18">
        <v>22.2</v>
      </c>
      <c r="N18">
        <v>33.630000000000003</v>
      </c>
      <c r="O18">
        <v>90.713996887207045</v>
      </c>
      <c r="P18">
        <v>1.6704213335765656</v>
      </c>
    </row>
    <row r="19" spans="1:20" x14ac:dyDescent="0.25">
      <c r="A19" s="11">
        <v>44767</v>
      </c>
      <c r="B19">
        <v>67.510002136230469</v>
      </c>
      <c r="C19">
        <v>408.25</v>
      </c>
      <c r="D19">
        <v>22.309999465942383</v>
      </c>
      <c r="E19">
        <v>166.86000061035156</v>
      </c>
      <c r="F19">
        <v>212.72</v>
      </c>
      <c r="G19">
        <v>78.349999999999994</v>
      </c>
      <c r="H19">
        <v>11.180000305175779</v>
      </c>
      <c r="I19">
        <v>11.380000114440918</v>
      </c>
      <c r="J19">
        <v>5.3850002288818359</v>
      </c>
      <c r="K19">
        <v>5.5679998397827148</v>
      </c>
      <c r="L19">
        <v>110.54000091552734</v>
      </c>
      <c r="M19">
        <v>22.23</v>
      </c>
      <c r="N19">
        <v>33.68</v>
      </c>
      <c r="O19">
        <v>90.424003601074219</v>
      </c>
      <c r="P19">
        <v>1.6538498900346654</v>
      </c>
    </row>
    <row r="20" spans="1:20" x14ac:dyDescent="0.25">
      <c r="A20" s="11">
        <v>44768</v>
      </c>
      <c r="B20">
        <v>66.459999084472656</v>
      </c>
      <c r="C20">
        <v>403.95001220703131</v>
      </c>
      <c r="D20">
        <v>21.989999771118164</v>
      </c>
      <c r="E20">
        <v>166.72000122070313</v>
      </c>
      <c r="F20">
        <v>211.73</v>
      </c>
      <c r="G20">
        <v>77.459999999999994</v>
      </c>
      <c r="H20">
        <v>11.180000305175779</v>
      </c>
      <c r="I20">
        <v>11.369999885559082</v>
      </c>
      <c r="J20">
        <v>5.4200000762939453</v>
      </c>
      <c r="K20">
        <v>5.554999828338623</v>
      </c>
      <c r="L20">
        <v>110.54000091552734</v>
      </c>
      <c r="M20">
        <v>22.19</v>
      </c>
      <c r="N20">
        <v>33.659999999999997</v>
      </c>
      <c r="O20">
        <v>90.944000244140625</v>
      </c>
      <c r="P20">
        <v>1.6499812744148348</v>
      </c>
    </row>
    <row r="21" spans="1:20" x14ac:dyDescent="0.25">
      <c r="A21" s="11">
        <v>44769</v>
      </c>
      <c r="B21">
        <v>68.349998474121094</v>
      </c>
      <c r="C21">
        <v>408.25</v>
      </c>
      <c r="D21">
        <v>22.399999618530277</v>
      </c>
      <c r="E21">
        <v>168.25999450683594</v>
      </c>
      <c r="F21">
        <v>213.86</v>
      </c>
      <c r="G21">
        <v>79.13</v>
      </c>
      <c r="H21">
        <v>11.199999809265137</v>
      </c>
      <c r="I21">
        <v>11.399999618530272</v>
      </c>
      <c r="J21">
        <v>5.380000114440918</v>
      </c>
      <c r="K21">
        <v>5.5914998054504403</v>
      </c>
      <c r="L21">
        <v>110.44000244140624</v>
      </c>
      <c r="M21">
        <v>22.26</v>
      </c>
      <c r="N21">
        <v>33.6</v>
      </c>
      <c r="O21">
        <v>91.269996643066406</v>
      </c>
      <c r="P21">
        <v>1.6636630900107308</v>
      </c>
    </row>
    <row r="22" spans="1:20" x14ac:dyDescent="0.25">
      <c r="A22" s="11">
        <v>44770</v>
      </c>
      <c r="B22">
        <v>69.44000244140625</v>
      </c>
      <c r="C22">
        <v>415.79998779296881</v>
      </c>
      <c r="D22">
        <v>22.620000839233398</v>
      </c>
      <c r="E22">
        <v>170.24000549316406</v>
      </c>
      <c r="F22">
        <v>214.66</v>
      </c>
      <c r="G22">
        <v>80.56</v>
      </c>
      <c r="H22">
        <v>11.229999542236328</v>
      </c>
      <c r="I22">
        <v>11.420000076293944</v>
      </c>
      <c r="J22">
        <v>5.427800178527832</v>
      </c>
      <c r="K22">
        <v>5.6409997940063477</v>
      </c>
      <c r="L22">
        <v>110.73000335693359</v>
      </c>
      <c r="M22">
        <v>22.4</v>
      </c>
      <c r="N22">
        <v>33.729999999999997</v>
      </c>
      <c r="O22">
        <v>92.125999450683594</v>
      </c>
      <c r="P22">
        <v>1.6891957352877527</v>
      </c>
    </row>
    <row r="23" spans="1:20" x14ac:dyDescent="0.25">
      <c r="A23" s="11">
        <v>44771</v>
      </c>
      <c r="B23">
        <v>70.110000610351563</v>
      </c>
      <c r="C23">
        <v>420.89999389648438</v>
      </c>
      <c r="D23">
        <v>22.979999542236328</v>
      </c>
      <c r="E23">
        <v>171.44000244140625</v>
      </c>
      <c r="F23">
        <v>219.23</v>
      </c>
      <c r="G23">
        <v>81.03</v>
      </c>
      <c r="H23">
        <v>11.239999771118164</v>
      </c>
      <c r="I23">
        <v>11.439999580383301</v>
      </c>
      <c r="J23">
        <v>5.4348001480102539</v>
      </c>
      <c r="K23">
        <v>5.6589999198913574</v>
      </c>
      <c r="L23">
        <v>110.69499969482422</v>
      </c>
      <c r="M23">
        <v>22.53</v>
      </c>
      <c r="N23">
        <v>33.92</v>
      </c>
      <c r="O23">
        <v>92.134002685546875</v>
      </c>
      <c r="P23">
        <v>1.6822877494149604</v>
      </c>
      <c r="Q23">
        <v>1.6463089728169689</v>
      </c>
      <c r="R23">
        <v>1.1242429989082479</v>
      </c>
      <c r="S23">
        <v>1.0579309074140515</v>
      </c>
      <c r="T23">
        <v>1</v>
      </c>
    </row>
    <row r="24" spans="1:20" x14ac:dyDescent="0.25">
      <c r="A24" s="11">
        <v>44774</v>
      </c>
      <c r="B24">
        <v>70.099998474121094</v>
      </c>
      <c r="E24">
        <v>171.3800048828125</v>
      </c>
      <c r="F24">
        <v>219.7</v>
      </c>
      <c r="G24">
        <v>80.819999999999993</v>
      </c>
      <c r="J24">
        <v>5.4348001480102539</v>
      </c>
      <c r="K24">
        <v>5.6810002326965332</v>
      </c>
      <c r="M24">
        <v>22.6</v>
      </c>
      <c r="N24">
        <v>34.11</v>
      </c>
      <c r="O24">
        <v>91.818000793457045</v>
      </c>
      <c r="P24">
        <v>1.6763734807652335</v>
      </c>
    </row>
    <row r="25" spans="1:20" x14ac:dyDescent="0.25">
      <c r="A25" s="11">
        <v>44775</v>
      </c>
      <c r="B25">
        <v>69.709999084472656</v>
      </c>
      <c r="C25">
        <v>423.35000610351563</v>
      </c>
      <c r="D25">
        <v>22.729999542236328</v>
      </c>
      <c r="E25">
        <v>171.39999389648438</v>
      </c>
      <c r="F25">
        <v>217.99</v>
      </c>
      <c r="G25">
        <v>80.09</v>
      </c>
      <c r="H25">
        <v>11.210000038146973</v>
      </c>
      <c r="I25">
        <v>11.420000076293944</v>
      </c>
      <c r="J25">
        <v>5.4050002098083496</v>
      </c>
      <c r="K25">
        <v>5.6465001106262207</v>
      </c>
      <c r="L25">
        <v>110.66999816894533</v>
      </c>
      <c r="M25">
        <v>22.58</v>
      </c>
      <c r="N25">
        <v>34.21</v>
      </c>
      <c r="O25">
        <v>92.015998840332045</v>
      </c>
      <c r="P25">
        <v>1.6584998701011038</v>
      </c>
    </row>
    <row r="26" spans="1:20" x14ac:dyDescent="0.25">
      <c r="A26" s="11">
        <v>44776</v>
      </c>
      <c r="B26">
        <v>71.25</v>
      </c>
      <c r="C26">
        <v>424.89999389648438</v>
      </c>
      <c r="D26">
        <v>22.950000762939453</v>
      </c>
      <c r="E26">
        <v>173</v>
      </c>
      <c r="F26">
        <v>218.96</v>
      </c>
      <c r="G26">
        <v>81.010000000000005</v>
      </c>
      <c r="H26">
        <v>11.210000038146973</v>
      </c>
      <c r="I26">
        <v>11.430000305175779</v>
      </c>
      <c r="J26">
        <v>5.4200000762939453</v>
      </c>
      <c r="K26">
        <v>5.6059999465942383</v>
      </c>
      <c r="L26">
        <v>110.44000244140624</v>
      </c>
      <c r="M26">
        <v>22.62</v>
      </c>
      <c r="N26">
        <v>34.299999999999997</v>
      </c>
      <c r="O26">
        <v>92.529998779296875</v>
      </c>
      <c r="P26">
        <v>1.6540998741420763</v>
      </c>
    </row>
    <row r="27" spans="1:20" x14ac:dyDescent="0.25">
      <c r="A27" s="11">
        <v>44777</v>
      </c>
      <c r="B27">
        <v>71.660003662109375</v>
      </c>
      <c r="C27">
        <v>426.04998779296881</v>
      </c>
      <c r="D27">
        <v>22.809999465942383</v>
      </c>
      <c r="E27">
        <v>172.32000732421875</v>
      </c>
      <c r="F27">
        <v>221.16</v>
      </c>
      <c r="G27">
        <v>81.569999999999993</v>
      </c>
      <c r="H27">
        <v>11.229999542236328</v>
      </c>
      <c r="I27">
        <v>11.449999809265137</v>
      </c>
      <c r="J27">
        <v>5.4310002326965332</v>
      </c>
      <c r="K27">
        <v>5.6409997940063477</v>
      </c>
      <c r="L27">
        <v>110.58000183105467</v>
      </c>
      <c r="M27">
        <v>22.69</v>
      </c>
      <c r="N27">
        <v>34.369999999999997</v>
      </c>
      <c r="O27">
        <v>92.2760009765625</v>
      </c>
      <c r="P27">
        <v>1.6501271037603047</v>
      </c>
    </row>
    <row r="28" spans="1:20" x14ac:dyDescent="0.25">
      <c r="A28" s="11">
        <v>44778</v>
      </c>
      <c r="B28">
        <v>71.449996948242188</v>
      </c>
      <c r="C28">
        <v>423.79998779296881</v>
      </c>
      <c r="D28">
        <v>23</v>
      </c>
      <c r="E28">
        <v>172.24000549316406</v>
      </c>
      <c r="F28">
        <v>219.08</v>
      </c>
      <c r="G28">
        <v>81.209999999999994</v>
      </c>
      <c r="H28">
        <v>11.189999580383301</v>
      </c>
      <c r="I28">
        <v>11.420000076293944</v>
      </c>
      <c r="J28">
        <v>5.380000114440918</v>
      </c>
      <c r="K28">
        <v>5.5555000305175781</v>
      </c>
      <c r="L28">
        <v>110.19000244140624</v>
      </c>
      <c r="M28">
        <v>22.67</v>
      </c>
      <c r="N28">
        <v>34.36</v>
      </c>
      <c r="O28">
        <v>92.267997741699219</v>
      </c>
      <c r="P28">
        <v>1.6503476252317586</v>
      </c>
    </row>
    <row r="29" spans="1:20" x14ac:dyDescent="0.25">
      <c r="A29" s="11">
        <v>44781</v>
      </c>
      <c r="B29">
        <v>71.5</v>
      </c>
      <c r="C29">
        <v>427.89999389648438</v>
      </c>
      <c r="D29">
        <v>23.309999465942383</v>
      </c>
      <c r="E29">
        <v>173.44000244140625</v>
      </c>
      <c r="F29">
        <v>221.95</v>
      </c>
      <c r="G29">
        <v>81.209999999999994</v>
      </c>
      <c r="H29">
        <v>11.199999809265137</v>
      </c>
      <c r="I29">
        <v>11.439999580383301</v>
      </c>
      <c r="J29">
        <v>5.4148001670837402</v>
      </c>
      <c r="K29">
        <v>5.6135001182556152</v>
      </c>
      <c r="L29">
        <v>110.29000091552734</v>
      </c>
      <c r="M29">
        <v>22.71</v>
      </c>
      <c r="N29">
        <v>34.43</v>
      </c>
      <c r="O29">
        <v>92.456001281738281</v>
      </c>
      <c r="P29">
        <v>1.6502346770632228</v>
      </c>
    </row>
    <row r="30" spans="1:20" x14ac:dyDescent="0.25">
      <c r="A30" s="11">
        <v>44782</v>
      </c>
      <c r="B30">
        <v>70.550003051757813</v>
      </c>
      <c r="C30">
        <v>427.95001220703131</v>
      </c>
      <c r="D30">
        <v>22.989999771118164</v>
      </c>
      <c r="E30">
        <v>171.75999450683594</v>
      </c>
      <c r="F30">
        <v>219.7</v>
      </c>
      <c r="G30">
        <v>80.599999999999994</v>
      </c>
      <c r="H30">
        <v>11.189999580383301</v>
      </c>
      <c r="I30">
        <v>11.420000076293944</v>
      </c>
      <c r="J30">
        <v>5.3892998695373535</v>
      </c>
      <c r="K30">
        <v>5.5879998207092285</v>
      </c>
      <c r="L30">
        <v>110.1999969482422</v>
      </c>
      <c r="M30">
        <v>22.65</v>
      </c>
      <c r="N30">
        <v>34.43</v>
      </c>
      <c r="O30">
        <v>91.622001647949219</v>
      </c>
      <c r="P30">
        <v>1.6762710166242496</v>
      </c>
    </row>
    <row r="31" spans="1:20" x14ac:dyDescent="0.25">
      <c r="A31" s="11">
        <v>44783</v>
      </c>
      <c r="B31">
        <v>72.639999389648438</v>
      </c>
      <c r="C31">
        <v>431.79998779296881</v>
      </c>
      <c r="D31">
        <v>23.370000839233398</v>
      </c>
      <c r="E31">
        <v>172.97999572753906</v>
      </c>
      <c r="F31">
        <v>223</v>
      </c>
      <c r="G31">
        <v>82.34</v>
      </c>
      <c r="H31">
        <v>11.210000038146973</v>
      </c>
      <c r="I31">
        <v>11.460000038146973</v>
      </c>
      <c r="J31">
        <v>5.440000057220459</v>
      </c>
      <c r="K31">
        <v>5.6389999389648438</v>
      </c>
      <c r="L31">
        <v>110.41999816894533</v>
      </c>
      <c r="M31">
        <v>22.78</v>
      </c>
      <c r="N31">
        <v>34.51</v>
      </c>
      <c r="O31">
        <v>91.246002197265625</v>
      </c>
      <c r="P31">
        <v>1.6949854172892307</v>
      </c>
    </row>
    <row r="32" spans="1:20" x14ac:dyDescent="0.25">
      <c r="A32" s="11">
        <v>44784</v>
      </c>
      <c r="B32">
        <v>72.5</v>
      </c>
      <c r="C32">
        <v>434.89999389648438</v>
      </c>
      <c r="D32">
        <v>23.309999465942383</v>
      </c>
      <c r="E32">
        <v>174.32000732421875</v>
      </c>
      <c r="F32">
        <v>223.81</v>
      </c>
      <c r="G32">
        <v>82.29</v>
      </c>
      <c r="H32">
        <v>11.210000038146973</v>
      </c>
      <c r="I32">
        <v>11.470000267028809</v>
      </c>
      <c r="J32">
        <v>5.4257998466491699</v>
      </c>
      <c r="K32">
        <v>5.6230001449584961</v>
      </c>
      <c r="L32">
        <v>110.36499786376952</v>
      </c>
      <c r="M32">
        <v>22.82</v>
      </c>
      <c r="N32">
        <v>34.700000000000003</v>
      </c>
      <c r="O32">
        <v>91.655998229980483</v>
      </c>
      <c r="P32">
        <v>1.688513563867639</v>
      </c>
    </row>
    <row r="33" spans="1:20" x14ac:dyDescent="0.25">
      <c r="A33" s="11">
        <v>44785</v>
      </c>
      <c r="B33">
        <v>73.860000610351563</v>
      </c>
      <c r="C33">
        <v>436.54998779296881</v>
      </c>
      <c r="D33">
        <v>23.549999237060547</v>
      </c>
      <c r="E33">
        <v>175.97999572753906</v>
      </c>
      <c r="F33">
        <v>223.33</v>
      </c>
      <c r="G33">
        <v>83.19</v>
      </c>
      <c r="H33">
        <v>11.210000038146973</v>
      </c>
      <c r="I33">
        <v>11.470000267028809</v>
      </c>
      <c r="J33">
        <v>5.440000057220459</v>
      </c>
      <c r="K33">
        <v>5.6160001754760742</v>
      </c>
      <c r="L33">
        <v>110.40000152587891</v>
      </c>
      <c r="M33">
        <v>22.87</v>
      </c>
      <c r="N33">
        <v>34.69</v>
      </c>
      <c r="O33">
        <v>92.204002380371094</v>
      </c>
      <c r="P33">
        <v>1.712175585679377</v>
      </c>
    </row>
    <row r="34" spans="1:20" x14ac:dyDescent="0.25">
      <c r="A34" s="11">
        <v>44788</v>
      </c>
      <c r="B34">
        <v>74.120002746582031</v>
      </c>
      <c r="C34">
        <v>439.45001220703131</v>
      </c>
      <c r="D34">
        <v>23.659999847412109</v>
      </c>
      <c r="E34">
        <v>177.69999694824219</v>
      </c>
      <c r="H34">
        <v>11.229999542236328</v>
      </c>
      <c r="I34">
        <v>11.489999771118164</v>
      </c>
      <c r="J34">
        <v>5.4260001182556152</v>
      </c>
      <c r="K34">
        <v>5.6620001792907724</v>
      </c>
      <c r="L34">
        <v>110.38999938964844</v>
      </c>
      <c r="O34">
        <v>92.989997863769517</v>
      </c>
      <c r="P34">
        <v>1.6939099073181614</v>
      </c>
    </row>
    <row r="35" spans="1:20" x14ac:dyDescent="0.25">
      <c r="A35" s="11">
        <v>44789</v>
      </c>
      <c r="B35">
        <v>74.129997253417969</v>
      </c>
      <c r="C35">
        <v>442.20001220703131</v>
      </c>
      <c r="D35">
        <v>23.629999160766602</v>
      </c>
      <c r="E35">
        <v>178.63999938964844</v>
      </c>
      <c r="F35">
        <v>225.35</v>
      </c>
      <c r="G35">
        <v>83.87</v>
      </c>
      <c r="H35">
        <v>11.220000267028809</v>
      </c>
      <c r="I35">
        <v>11.479999542236328</v>
      </c>
      <c r="J35">
        <v>5.4000000953674316</v>
      </c>
      <c r="K35">
        <v>5.6085000038146973</v>
      </c>
      <c r="L35">
        <v>110.3000030517578</v>
      </c>
      <c r="M35">
        <v>22.85</v>
      </c>
      <c r="N35">
        <v>34.72</v>
      </c>
      <c r="O35">
        <v>92.725997924804673</v>
      </c>
      <c r="P35">
        <v>1.6934852926083459</v>
      </c>
    </row>
    <row r="36" spans="1:20" x14ac:dyDescent="0.25">
      <c r="A36" s="11">
        <v>44790</v>
      </c>
      <c r="B36">
        <v>73.050003051757813</v>
      </c>
      <c r="C36">
        <v>439.10000610351563</v>
      </c>
      <c r="D36">
        <v>23.409999847412109</v>
      </c>
      <c r="E36">
        <v>177.25999450683594</v>
      </c>
      <c r="F36">
        <v>225.38</v>
      </c>
      <c r="G36">
        <v>83.22</v>
      </c>
      <c r="H36">
        <v>11.210000038146973</v>
      </c>
      <c r="I36">
        <v>11.449999809265137</v>
      </c>
      <c r="J36">
        <v>5.4026999473571777</v>
      </c>
      <c r="K36">
        <v>5.5619997978210449</v>
      </c>
      <c r="L36">
        <v>110.02999877929688</v>
      </c>
      <c r="M36">
        <v>22.74</v>
      </c>
      <c r="N36">
        <v>34.58</v>
      </c>
      <c r="O36">
        <v>91.926002502441406</v>
      </c>
      <c r="P36">
        <v>1.6927843934712534</v>
      </c>
    </row>
    <row r="37" spans="1:20" x14ac:dyDescent="0.25">
      <c r="A37" s="11">
        <v>44791</v>
      </c>
      <c r="B37">
        <v>73.160003662109375</v>
      </c>
      <c r="C37">
        <v>440.39999389648438</v>
      </c>
      <c r="D37">
        <v>23.5</v>
      </c>
      <c r="E37">
        <v>178.41999816894531</v>
      </c>
      <c r="F37">
        <v>223.75</v>
      </c>
      <c r="G37">
        <v>83.15</v>
      </c>
      <c r="H37">
        <v>11.220000267028809</v>
      </c>
      <c r="I37">
        <v>11.460000038146973</v>
      </c>
      <c r="J37">
        <v>5.434999942779541</v>
      </c>
      <c r="K37">
        <v>5.5920000076293945</v>
      </c>
      <c r="L37">
        <v>110.27999877929688</v>
      </c>
      <c r="M37">
        <v>22.71</v>
      </c>
      <c r="N37">
        <v>34.520000000000003</v>
      </c>
      <c r="O37">
        <v>92.407997131347656</v>
      </c>
      <c r="P37">
        <v>1.6927854378650906</v>
      </c>
    </row>
    <row r="38" spans="1:20" x14ac:dyDescent="0.25">
      <c r="A38" s="11">
        <v>44792</v>
      </c>
      <c r="B38">
        <v>71.540000915527344</v>
      </c>
      <c r="C38">
        <v>435.14999389648438</v>
      </c>
      <c r="D38">
        <v>23.020000457763672</v>
      </c>
      <c r="E38">
        <v>177.25999450683594</v>
      </c>
      <c r="F38">
        <v>222.76</v>
      </c>
      <c r="G38">
        <v>81.94</v>
      </c>
      <c r="H38">
        <v>11.210000038146973</v>
      </c>
      <c r="I38">
        <v>11.430000305175779</v>
      </c>
      <c r="J38">
        <v>5.3600001335144043</v>
      </c>
      <c r="K38">
        <v>5.505000114440918</v>
      </c>
      <c r="L38">
        <v>110.23999786376952</v>
      </c>
      <c r="M38">
        <v>22.62</v>
      </c>
      <c r="N38">
        <v>34.49</v>
      </c>
      <c r="O38">
        <v>92.274002075195327</v>
      </c>
      <c r="P38">
        <v>1.7045870977917745</v>
      </c>
    </row>
    <row r="39" spans="1:20" x14ac:dyDescent="0.25">
      <c r="A39" s="11">
        <v>44795</v>
      </c>
      <c r="B39">
        <v>69.790000915527344</v>
      </c>
      <c r="C39">
        <v>428.29998779296881</v>
      </c>
      <c r="D39">
        <v>22.989999771118164</v>
      </c>
      <c r="E39">
        <v>176.47999572753906</v>
      </c>
      <c r="F39">
        <v>220.4</v>
      </c>
      <c r="G39">
        <v>80.13</v>
      </c>
      <c r="H39">
        <v>11.189999580383301</v>
      </c>
      <c r="I39">
        <v>11.399999618530272</v>
      </c>
      <c r="J39">
        <v>5.4050002098083496</v>
      </c>
      <c r="K39">
        <v>5.4800000190734863</v>
      </c>
      <c r="L39">
        <v>110.18499755859376</v>
      </c>
      <c r="M39">
        <v>22.45</v>
      </c>
      <c r="N39">
        <v>34.340000000000003</v>
      </c>
      <c r="O39">
        <v>92.777999877929673</v>
      </c>
      <c r="P39">
        <v>1.6921711426388957</v>
      </c>
    </row>
    <row r="40" spans="1:20" x14ac:dyDescent="0.25">
      <c r="A40" s="11">
        <v>44796</v>
      </c>
      <c r="B40">
        <v>69.540000915527344</v>
      </c>
      <c r="C40">
        <v>425.20001220703131</v>
      </c>
      <c r="D40">
        <v>22.770000457763672</v>
      </c>
      <c r="E40">
        <v>175.44000244140625</v>
      </c>
      <c r="F40">
        <v>217.15</v>
      </c>
      <c r="G40">
        <v>79.739999999999995</v>
      </c>
      <c r="H40">
        <v>11.199999809265137</v>
      </c>
      <c r="I40">
        <v>11.399999618530272</v>
      </c>
      <c r="J40">
        <v>5.4099998474121094</v>
      </c>
      <c r="K40">
        <v>5.5029997825622559</v>
      </c>
      <c r="L40">
        <v>110.1999969482422</v>
      </c>
      <c r="M40">
        <v>22.4</v>
      </c>
      <c r="N40">
        <v>34.21</v>
      </c>
      <c r="O40">
        <v>92.307998657226563</v>
      </c>
      <c r="P40">
        <v>1.6860068313522987</v>
      </c>
    </row>
    <row r="41" spans="1:20" x14ac:dyDescent="0.25">
      <c r="A41" s="11">
        <v>44797</v>
      </c>
      <c r="B41">
        <v>69.739997863769531</v>
      </c>
      <c r="C41">
        <v>427.60000610351563</v>
      </c>
      <c r="D41">
        <v>22.780000686645508</v>
      </c>
      <c r="E41">
        <v>176.1199951171875</v>
      </c>
      <c r="F41">
        <v>216.27</v>
      </c>
      <c r="G41">
        <v>80.069999999999993</v>
      </c>
      <c r="H41">
        <v>11.189999580383301</v>
      </c>
      <c r="I41">
        <v>11.399999618530272</v>
      </c>
      <c r="J41">
        <v>5.387700080871582</v>
      </c>
      <c r="K41">
        <v>5.4739999771118164</v>
      </c>
      <c r="L41">
        <v>110.09999847412109</v>
      </c>
      <c r="M41">
        <v>22.4</v>
      </c>
      <c r="N41">
        <v>34.22</v>
      </c>
      <c r="O41">
        <v>92.582000732421875</v>
      </c>
      <c r="P41">
        <v>1.6855396391210713</v>
      </c>
    </row>
    <row r="42" spans="1:20" x14ac:dyDescent="0.25">
      <c r="A42" s="11">
        <v>44798</v>
      </c>
      <c r="B42">
        <v>70.849998474121094</v>
      </c>
      <c r="C42">
        <v>428.10000610351563</v>
      </c>
      <c r="D42">
        <v>22.969999313354489</v>
      </c>
      <c r="E42">
        <v>177.03999328613281</v>
      </c>
      <c r="F42">
        <v>217.19</v>
      </c>
      <c r="G42">
        <v>81.16</v>
      </c>
      <c r="H42">
        <v>11.199999809265137</v>
      </c>
      <c r="I42">
        <v>11.409999847412109</v>
      </c>
      <c r="J42">
        <v>5.4000000953674316</v>
      </c>
      <c r="K42">
        <v>5.5060000419616699</v>
      </c>
      <c r="L42">
        <v>110.08000183105467</v>
      </c>
      <c r="M42">
        <v>22.44</v>
      </c>
      <c r="N42">
        <v>34.25</v>
      </c>
      <c r="O42">
        <v>92.942001342773438</v>
      </c>
      <c r="P42">
        <v>1.7041422006974019</v>
      </c>
    </row>
    <row r="43" spans="1:20" x14ac:dyDescent="0.25">
      <c r="A43" s="11">
        <v>44799</v>
      </c>
      <c r="B43">
        <v>68.050003051757813</v>
      </c>
      <c r="C43">
        <v>424.10000610351563</v>
      </c>
      <c r="D43">
        <v>22.370000839233398</v>
      </c>
      <c r="E43">
        <v>174.63999938964844</v>
      </c>
      <c r="F43">
        <v>218.05</v>
      </c>
      <c r="G43">
        <v>78.67</v>
      </c>
      <c r="H43">
        <v>11.189999580383301</v>
      </c>
      <c r="I43">
        <v>11.399999618530272</v>
      </c>
      <c r="J43">
        <v>5.3976998329162598</v>
      </c>
      <c r="K43">
        <v>5.5100002288818359</v>
      </c>
      <c r="L43">
        <v>110.125</v>
      </c>
      <c r="M43">
        <v>22.4</v>
      </c>
      <c r="N43">
        <v>34.299999999999997</v>
      </c>
      <c r="O43">
        <v>92.309997558593764</v>
      </c>
      <c r="P43">
        <v>1.6899273541104842</v>
      </c>
    </row>
    <row r="44" spans="1:20" x14ac:dyDescent="0.25">
      <c r="A44" s="11">
        <v>44802</v>
      </c>
      <c r="B44">
        <v>67.470001220703125</v>
      </c>
      <c r="C44">
        <v>415</v>
      </c>
      <c r="D44">
        <v>22.180000305175781</v>
      </c>
      <c r="E44">
        <v>171.69999694824219</v>
      </c>
      <c r="F44">
        <v>210.52</v>
      </c>
      <c r="H44">
        <v>11.180000305175779</v>
      </c>
      <c r="I44">
        <v>11.369999885559082</v>
      </c>
      <c r="J44">
        <v>5.3940000534057617</v>
      </c>
      <c r="L44">
        <v>110</v>
      </c>
      <c r="M44">
        <v>22.32</v>
      </c>
      <c r="N44">
        <v>34.119999999999997</v>
      </c>
      <c r="O44">
        <v>91.536003112792955</v>
      </c>
      <c r="P44">
        <v>1.7065293821463985</v>
      </c>
    </row>
    <row r="45" spans="1:20" x14ac:dyDescent="0.25">
      <c r="A45" s="11">
        <v>44803</v>
      </c>
      <c r="B45">
        <v>67</v>
      </c>
      <c r="C45">
        <v>411.5</v>
      </c>
      <c r="D45">
        <v>22.100000381469727</v>
      </c>
      <c r="E45">
        <v>169.91999816894531</v>
      </c>
      <c r="F45">
        <v>211.02</v>
      </c>
      <c r="G45">
        <v>77.28</v>
      </c>
      <c r="H45">
        <v>11.170000076293944</v>
      </c>
      <c r="I45">
        <v>11.350000381469728</v>
      </c>
      <c r="J45">
        <v>5.3639998435974121</v>
      </c>
      <c r="K45">
        <v>5.4549999237060547</v>
      </c>
      <c r="L45">
        <v>109.94000244140624</v>
      </c>
      <c r="M45">
        <v>22.2</v>
      </c>
      <c r="N45">
        <v>34.07</v>
      </c>
      <c r="O45">
        <v>90.606002807617202</v>
      </c>
      <c r="P45">
        <v>1.7096333633990137</v>
      </c>
    </row>
    <row r="46" spans="1:20" x14ac:dyDescent="0.25">
      <c r="A46" s="11">
        <v>44804</v>
      </c>
      <c r="B46">
        <v>66.599998474121094</v>
      </c>
      <c r="C46">
        <v>410</v>
      </c>
      <c r="D46">
        <v>22.020000457763672</v>
      </c>
      <c r="E46">
        <v>168.89999389648438</v>
      </c>
      <c r="F46">
        <v>210.37</v>
      </c>
      <c r="G46">
        <v>76.98</v>
      </c>
      <c r="H46">
        <v>11.170000076293944</v>
      </c>
      <c r="I46">
        <v>11.340000152587891</v>
      </c>
      <c r="J46">
        <v>5.3509998321533203</v>
      </c>
      <c r="K46">
        <v>5.4409999847412109</v>
      </c>
      <c r="L46">
        <v>109.9499969482422</v>
      </c>
      <c r="M46">
        <v>22.06</v>
      </c>
      <c r="N46">
        <v>33.880000000000003</v>
      </c>
      <c r="O46">
        <v>90.082000732421875</v>
      </c>
      <c r="P46">
        <v>1.6987741693592271</v>
      </c>
      <c r="Q46">
        <v>1.6476260199952224</v>
      </c>
      <c r="R46">
        <v>1.1388581578940549</v>
      </c>
      <c r="S46">
        <v>1.072424560845624</v>
      </c>
      <c r="T46">
        <v>1</v>
      </c>
    </row>
    <row r="47" spans="1:20" x14ac:dyDescent="0.25">
      <c r="A47" s="11">
        <v>44805</v>
      </c>
      <c r="B47">
        <v>66.339996337890625</v>
      </c>
      <c r="C47">
        <v>403.89999389648438</v>
      </c>
      <c r="D47">
        <v>21.819999694824219</v>
      </c>
      <c r="E47">
        <v>167.80000305175781</v>
      </c>
      <c r="F47">
        <v>206.39</v>
      </c>
      <c r="G47">
        <v>76.59</v>
      </c>
      <c r="H47">
        <v>11.149999618530272</v>
      </c>
      <c r="I47">
        <v>11.310000419616699</v>
      </c>
      <c r="J47">
        <v>5.380000114440918</v>
      </c>
      <c r="K47">
        <v>5.3270001411437988</v>
      </c>
      <c r="L47">
        <v>109.81999969482422</v>
      </c>
      <c r="M47">
        <v>21.97</v>
      </c>
      <c r="N47">
        <v>33.78</v>
      </c>
      <c r="O47">
        <v>90.536003112792955</v>
      </c>
      <c r="P47">
        <v>1.7182617977548649</v>
      </c>
    </row>
    <row r="48" spans="1:20" x14ac:dyDescent="0.25">
      <c r="A48" s="11">
        <v>44806</v>
      </c>
      <c r="B48">
        <v>65.610000610351563</v>
      </c>
      <c r="C48">
        <v>413.25</v>
      </c>
      <c r="D48">
        <v>21.709999084472656</v>
      </c>
      <c r="E48">
        <v>169.75999450683594</v>
      </c>
      <c r="F48">
        <v>208.5</v>
      </c>
      <c r="G48">
        <v>75.900000000000006</v>
      </c>
      <c r="H48">
        <v>11.180000305175779</v>
      </c>
      <c r="I48">
        <v>11.340000152587891</v>
      </c>
      <c r="J48">
        <v>5.3776998519897461</v>
      </c>
      <c r="K48">
        <v>5.3819999694824219</v>
      </c>
      <c r="L48">
        <v>110.12000274658205</v>
      </c>
      <c r="M48">
        <v>22.04</v>
      </c>
      <c r="N48">
        <v>33.72</v>
      </c>
      <c r="O48">
        <v>91.066001892089844</v>
      </c>
      <c r="P48">
        <v>1.686029023839013</v>
      </c>
    </row>
    <row r="49" spans="1:16" x14ac:dyDescent="0.25">
      <c r="A49" s="11">
        <v>44809</v>
      </c>
      <c r="C49">
        <v>405.35000610351563</v>
      </c>
      <c r="E49">
        <v>168.91999816894531</v>
      </c>
      <c r="F49">
        <v>205.47</v>
      </c>
      <c r="G49">
        <v>76.14</v>
      </c>
      <c r="K49">
        <v>5.3454999923706055</v>
      </c>
      <c r="L49">
        <v>109.98000335693359</v>
      </c>
      <c r="N49">
        <v>33.79</v>
      </c>
      <c r="O49">
        <v>91.365997314453125</v>
      </c>
      <c r="P49">
        <v>1.6874441167869727</v>
      </c>
    </row>
    <row r="50" spans="1:16" x14ac:dyDescent="0.25">
      <c r="A50" s="11">
        <v>44810</v>
      </c>
      <c r="B50">
        <v>65.209999084472656</v>
      </c>
      <c r="C50">
        <v>404.95001220703131</v>
      </c>
      <c r="D50">
        <v>21.770000457763672</v>
      </c>
      <c r="E50">
        <v>168.5</v>
      </c>
      <c r="F50">
        <v>205.63</v>
      </c>
      <c r="G50">
        <v>75.98</v>
      </c>
      <c r="H50">
        <v>11.149999618530272</v>
      </c>
      <c r="I50">
        <v>11.310000419616699</v>
      </c>
      <c r="J50">
        <v>5.3492999076843262</v>
      </c>
      <c r="K50">
        <v>5.310999870300293</v>
      </c>
      <c r="L50">
        <v>109.9250030517578</v>
      </c>
      <c r="M50">
        <v>21.99</v>
      </c>
      <c r="N50">
        <v>33.78</v>
      </c>
      <c r="O50">
        <v>91.311996459960938</v>
      </c>
      <c r="P50">
        <v>1.7090907316892463</v>
      </c>
    </row>
    <row r="51" spans="1:16" x14ac:dyDescent="0.25">
      <c r="A51" s="11">
        <v>44811</v>
      </c>
      <c r="B51">
        <v>66.629997253417969</v>
      </c>
      <c r="C51">
        <v>406.14999389648438</v>
      </c>
      <c r="D51">
        <v>22</v>
      </c>
      <c r="E51">
        <v>167.74000549316406</v>
      </c>
      <c r="F51">
        <v>205.35</v>
      </c>
      <c r="G51">
        <v>77.2</v>
      </c>
      <c r="H51">
        <v>11.170000076293944</v>
      </c>
      <c r="I51">
        <v>11.329999923706056</v>
      </c>
      <c r="J51">
        <v>5.380000114440918</v>
      </c>
      <c r="K51">
        <v>5.3520002365112314</v>
      </c>
      <c r="L51">
        <v>109.9250030517578</v>
      </c>
      <c r="M51">
        <v>22.05</v>
      </c>
      <c r="N51">
        <v>33.729999999999997</v>
      </c>
      <c r="O51">
        <v>91.4739990234375</v>
      </c>
      <c r="P51">
        <v>1.7146965213000473</v>
      </c>
    </row>
    <row r="52" spans="1:16" x14ac:dyDescent="0.25">
      <c r="A52" s="11">
        <v>44812</v>
      </c>
      <c r="B52">
        <v>67.209999084472656</v>
      </c>
      <c r="C52">
        <v>412.45001220703131</v>
      </c>
      <c r="D52">
        <v>22.149999618530277</v>
      </c>
      <c r="E52">
        <v>169.94000244140625</v>
      </c>
      <c r="F52">
        <v>207.47</v>
      </c>
      <c r="G52">
        <v>77.56</v>
      </c>
      <c r="H52">
        <v>11.159999847412109</v>
      </c>
      <c r="I52">
        <v>11.340000152587891</v>
      </c>
      <c r="J52">
        <v>5.3706998825073242</v>
      </c>
      <c r="K52">
        <v>5.3755002021789551</v>
      </c>
      <c r="L52">
        <v>109.86000061035156</v>
      </c>
      <c r="M52">
        <v>22.14</v>
      </c>
      <c r="N52">
        <v>33.82</v>
      </c>
      <c r="O52">
        <v>91.9739990234375</v>
      </c>
      <c r="P52">
        <v>1.71579018011942</v>
      </c>
    </row>
    <row r="53" spans="1:16" x14ac:dyDescent="0.25">
      <c r="A53" s="11">
        <v>44813</v>
      </c>
      <c r="B53">
        <v>68.5</v>
      </c>
      <c r="C53">
        <v>417.60000610351563</v>
      </c>
      <c r="D53">
        <v>22.530000686645508</v>
      </c>
      <c r="E53">
        <v>171.25999450683594</v>
      </c>
      <c r="F53">
        <v>211.5</v>
      </c>
      <c r="G53">
        <v>79.02</v>
      </c>
      <c r="H53">
        <v>11.159999847412109</v>
      </c>
      <c r="I53">
        <v>11.350000381469728</v>
      </c>
      <c r="J53">
        <v>5.380000114440918</v>
      </c>
      <c r="K53">
        <v>5.382500171661377</v>
      </c>
      <c r="L53">
        <v>109.84999847412109</v>
      </c>
      <c r="M53">
        <v>22.24</v>
      </c>
      <c r="N53">
        <v>33.97</v>
      </c>
      <c r="O53">
        <v>91.982002258300781</v>
      </c>
      <c r="P53">
        <v>1.7341163504007302</v>
      </c>
    </row>
    <row r="54" spans="1:16" x14ac:dyDescent="0.25">
      <c r="A54" s="11">
        <v>44816</v>
      </c>
      <c r="B54">
        <v>69.290000915527344</v>
      </c>
      <c r="C54">
        <v>423.20001220703131</v>
      </c>
      <c r="D54">
        <v>22.620000839233398</v>
      </c>
      <c r="E54">
        <v>172.32000732421875</v>
      </c>
      <c r="F54">
        <v>215.07</v>
      </c>
      <c r="G54">
        <v>79.739999999999995</v>
      </c>
      <c r="H54">
        <v>11.159999847412109</v>
      </c>
      <c r="I54">
        <v>11.359999656677246</v>
      </c>
      <c r="J54">
        <v>5.4000000953674316</v>
      </c>
      <c r="K54">
        <v>5.3965001106262207</v>
      </c>
      <c r="L54">
        <v>109.83999633789063</v>
      </c>
      <c r="M54">
        <v>22.29</v>
      </c>
      <c r="N54">
        <v>34.130000000000003</v>
      </c>
      <c r="O54">
        <v>91.125999450683594</v>
      </c>
      <c r="P54">
        <v>1.7428579332418879</v>
      </c>
    </row>
    <row r="55" spans="1:16" x14ac:dyDescent="0.25">
      <c r="A55" s="11">
        <v>44817</v>
      </c>
      <c r="B55">
        <v>65.930000305175781</v>
      </c>
      <c r="C55">
        <v>410.85000610351563</v>
      </c>
      <c r="D55">
        <v>22.010000228881839</v>
      </c>
      <c r="E55">
        <v>169.44000244140625</v>
      </c>
      <c r="F55">
        <v>210.76</v>
      </c>
      <c r="G55">
        <v>76.84</v>
      </c>
      <c r="H55">
        <v>11.119999885559082</v>
      </c>
      <c r="I55">
        <v>11.310000419616699</v>
      </c>
      <c r="J55">
        <v>5.320000171661377</v>
      </c>
      <c r="K55">
        <v>5.3119997978210449</v>
      </c>
      <c r="L55">
        <v>109.44000244140624</v>
      </c>
      <c r="M55">
        <v>22.15</v>
      </c>
      <c r="N55">
        <v>34.11</v>
      </c>
      <c r="O55">
        <v>90.791999816894517</v>
      </c>
      <c r="P55">
        <v>1.7183442648706624</v>
      </c>
    </row>
    <row r="56" spans="1:16" x14ac:dyDescent="0.25">
      <c r="A56" s="11">
        <v>44818</v>
      </c>
      <c r="B56">
        <v>66.029998779296875</v>
      </c>
      <c r="C56">
        <v>406.79998779296881</v>
      </c>
      <c r="D56">
        <v>22.010000228881839</v>
      </c>
      <c r="E56">
        <v>168.24000549316406</v>
      </c>
      <c r="F56">
        <v>208.03</v>
      </c>
      <c r="G56">
        <v>76.72</v>
      </c>
      <c r="H56">
        <v>11.109999656677246</v>
      </c>
      <c r="I56">
        <v>11.300000190734863</v>
      </c>
      <c r="J56">
        <v>5.320000171661377</v>
      </c>
      <c r="K56">
        <v>5.3515000343322754</v>
      </c>
      <c r="L56">
        <v>109.41000366210938</v>
      </c>
      <c r="M56">
        <v>22.09</v>
      </c>
      <c r="N56">
        <v>33.909999999999997</v>
      </c>
      <c r="O56">
        <v>90.849998474121094</v>
      </c>
      <c r="P56">
        <v>1.7042834810064778</v>
      </c>
    </row>
    <row r="57" spans="1:16" x14ac:dyDescent="0.25">
      <c r="A57" s="11">
        <v>44819</v>
      </c>
      <c r="B57">
        <v>65.129997253417969</v>
      </c>
      <c r="C57">
        <v>403.95001220703131</v>
      </c>
      <c r="D57">
        <v>22.049999237060547</v>
      </c>
      <c r="E57">
        <v>167.30000305175781</v>
      </c>
      <c r="F57">
        <v>207.33</v>
      </c>
      <c r="G57">
        <v>75.88</v>
      </c>
      <c r="H57">
        <v>11.100000381469728</v>
      </c>
      <c r="I57">
        <v>11.279999732971191</v>
      </c>
      <c r="J57">
        <v>5.3000001907348633</v>
      </c>
      <c r="K57">
        <v>5.3229999542236328</v>
      </c>
      <c r="L57">
        <v>109.18000030517578</v>
      </c>
      <c r="M57">
        <v>22.02</v>
      </c>
      <c r="N57">
        <v>33.86</v>
      </c>
      <c r="O57">
        <v>90.307998657226563</v>
      </c>
      <c r="P57">
        <v>1.7112041886627642</v>
      </c>
    </row>
    <row r="58" spans="1:16" x14ac:dyDescent="0.25">
      <c r="A58" s="11">
        <v>44820</v>
      </c>
      <c r="B58">
        <v>64.379997253417969</v>
      </c>
      <c r="C58">
        <v>397.39999389648438</v>
      </c>
      <c r="D58">
        <v>21.760000228881839</v>
      </c>
      <c r="E58">
        <v>164.30000305175781</v>
      </c>
      <c r="F58">
        <v>202.21</v>
      </c>
      <c r="G58">
        <v>75.28</v>
      </c>
      <c r="H58">
        <v>11.109999656677246</v>
      </c>
      <c r="I58">
        <v>11.270000457763672</v>
      </c>
      <c r="J58">
        <v>5.3000001907348633</v>
      </c>
      <c r="K58">
        <v>5.3060002326965332</v>
      </c>
      <c r="L58">
        <v>109.23999786376952</v>
      </c>
      <c r="M58">
        <v>21.94</v>
      </c>
      <c r="N58">
        <v>33.71</v>
      </c>
      <c r="O58">
        <v>89.482002258300781</v>
      </c>
      <c r="P58">
        <v>1.7319754746985929</v>
      </c>
    </row>
    <row r="59" spans="1:16" x14ac:dyDescent="0.25">
      <c r="A59" s="11">
        <v>44823</v>
      </c>
      <c r="B59">
        <v>64.730003356933594</v>
      </c>
      <c r="C59">
        <v>397.85000610351563</v>
      </c>
      <c r="D59">
        <v>21.920000076293945</v>
      </c>
      <c r="E59">
        <v>164.67999267578125</v>
      </c>
      <c r="F59">
        <v>201.74</v>
      </c>
      <c r="H59">
        <v>11.090000152587891</v>
      </c>
      <c r="I59">
        <v>11.270000457763672</v>
      </c>
      <c r="J59">
        <v>5.3000001907348633</v>
      </c>
      <c r="L59">
        <v>109.16999816894533</v>
      </c>
      <c r="M59">
        <v>21.93</v>
      </c>
      <c r="N59">
        <v>33.64</v>
      </c>
      <c r="O59">
        <v>90.190002441406236</v>
      </c>
      <c r="P59">
        <v>1.742607593646242</v>
      </c>
    </row>
    <row r="60" spans="1:16" x14ac:dyDescent="0.25">
      <c r="A60" s="11">
        <v>44824</v>
      </c>
      <c r="B60">
        <v>63.520000457763672</v>
      </c>
      <c r="C60">
        <v>397.89999389648438</v>
      </c>
      <c r="D60">
        <v>21.729999542236328</v>
      </c>
      <c r="E60">
        <v>164.69999694824219</v>
      </c>
      <c r="F60">
        <v>200.27</v>
      </c>
      <c r="G60">
        <v>74.599999999999994</v>
      </c>
      <c r="H60">
        <v>11.090000152587891</v>
      </c>
      <c r="I60">
        <v>11.25</v>
      </c>
      <c r="J60">
        <v>5.3499999046325684</v>
      </c>
      <c r="K60">
        <v>5.2659997940063477</v>
      </c>
      <c r="L60">
        <v>109.11000061035156</v>
      </c>
      <c r="M60">
        <v>21.9</v>
      </c>
      <c r="N60">
        <v>33.68</v>
      </c>
      <c r="O60">
        <v>90.174003601074219</v>
      </c>
      <c r="P60">
        <v>1.7198575527226752</v>
      </c>
    </row>
    <row r="61" spans="1:16" x14ac:dyDescent="0.25">
      <c r="A61" s="11">
        <v>44825</v>
      </c>
      <c r="B61">
        <v>62.560001373291016</v>
      </c>
      <c r="C61">
        <v>399.10000610351563</v>
      </c>
      <c r="D61">
        <v>21.629999160766602</v>
      </c>
      <c r="E61">
        <v>166.36000061035156</v>
      </c>
      <c r="F61">
        <v>201.73</v>
      </c>
      <c r="G61">
        <v>73.38</v>
      </c>
      <c r="H61">
        <v>11.079999923706056</v>
      </c>
      <c r="I61">
        <v>11.260000228881836</v>
      </c>
      <c r="J61">
        <v>5.3350000381469727</v>
      </c>
      <c r="K61">
        <v>5.2779998779296884</v>
      </c>
      <c r="L61">
        <v>109.08999633789063</v>
      </c>
      <c r="M61">
        <v>21.9</v>
      </c>
      <c r="N61">
        <v>33.700000000000003</v>
      </c>
      <c r="O61">
        <v>91.055999755859375</v>
      </c>
      <c r="P61">
        <v>1.7094903390731995</v>
      </c>
    </row>
    <row r="62" spans="1:16" x14ac:dyDescent="0.25">
      <c r="A62" s="11">
        <v>44826</v>
      </c>
      <c r="B62">
        <v>61.560001373291016</v>
      </c>
      <c r="C62">
        <v>387.79998779296881</v>
      </c>
      <c r="D62">
        <v>21.420000076293945</v>
      </c>
      <c r="E62">
        <v>162.96000671386719</v>
      </c>
      <c r="F62">
        <v>196.93</v>
      </c>
      <c r="G62">
        <v>72.13</v>
      </c>
      <c r="H62">
        <v>11.039999961853027</v>
      </c>
      <c r="I62">
        <v>11.210000038146973</v>
      </c>
      <c r="J62">
        <v>5.3056998252868652</v>
      </c>
      <c r="K62">
        <v>5.2039999961853027</v>
      </c>
      <c r="L62">
        <v>108.73999786376952</v>
      </c>
      <c r="M62">
        <v>21.78</v>
      </c>
      <c r="N62">
        <v>33.630000000000003</v>
      </c>
      <c r="O62">
        <v>90.339996337890625</v>
      </c>
      <c r="P62">
        <v>1.7148359621245255</v>
      </c>
    </row>
    <row r="63" spans="1:16" x14ac:dyDescent="0.25">
      <c r="A63" s="11">
        <v>44827</v>
      </c>
      <c r="B63">
        <v>60.75</v>
      </c>
      <c r="C63">
        <v>380.70001220703131</v>
      </c>
      <c r="D63">
        <v>20.959999084472656</v>
      </c>
      <c r="E63">
        <v>161.17999267578125</v>
      </c>
      <c r="F63">
        <v>193.79</v>
      </c>
      <c r="G63">
        <v>71.209999999999994</v>
      </c>
      <c r="H63">
        <v>11.020000457763672</v>
      </c>
      <c r="I63">
        <v>11.170000076293944</v>
      </c>
      <c r="J63">
        <v>5.309999942779541</v>
      </c>
      <c r="K63">
        <v>5.1789999008178711</v>
      </c>
      <c r="L63">
        <v>108.84500122070313</v>
      </c>
      <c r="M63">
        <v>21.64</v>
      </c>
      <c r="N63">
        <v>33.44</v>
      </c>
      <c r="O63">
        <v>90.657997131347656</v>
      </c>
      <c r="P63">
        <v>1.7048472228842284</v>
      </c>
    </row>
    <row r="64" spans="1:16" x14ac:dyDescent="0.25">
      <c r="A64" s="11">
        <v>44830</v>
      </c>
      <c r="B64">
        <v>59.880001068115234</v>
      </c>
      <c r="C64">
        <v>378.75</v>
      </c>
      <c r="D64">
        <v>20.760000228881839</v>
      </c>
      <c r="E64">
        <v>161.53999328613281</v>
      </c>
      <c r="F64">
        <v>194.17</v>
      </c>
      <c r="G64">
        <v>70.63</v>
      </c>
      <c r="H64">
        <v>10.989999771118164</v>
      </c>
      <c r="I64">
        <v>11.119999885559082</v>
      </c>
      <c r="J64">
        <v>5.25</v>
      </c>
      <c r="K64">
        <v>5.1535000801086426</v>
      </c>
      <c r="L64">
        <v>108.53500366210938</v>
      </c>
      <c r="M64">
        <v>21.44</v>
      </c>
      <c r="N64">
        <v>33.26</v>
      </c>
      <c r="O64">
        <v>90.958000183105483</v>
      </c>
      <c r="P64">
        <v>1.6996195925777924</v>
      </c>
    </row>
    <row r="65" spans="1:20" x14ac:dyDescent="0.25">
      <c r="A65" s="11">
        <v>44831</v>
      </c>
      <c r="B65">
        <v>59.819999694824219</v>
      </c>
      <c r="C65">
        <v>377.75</v>
      </c>
      <c r="D65">
        <v>20.659999847412109</v>
      </c>
      <c r="E65">
        <v>161.10000610351563</v>
      </c>
      <c r="F65">
        <v>192.92</v>
      </c>
      <c r="G65">
        <v>70.489999999999995</v>
      </c>
      <c r="H65">
        <v>10.979999542236328</v>
      </c>
      <c r="I65">
        <v>11.100000381469728</v>
      </c>
      <c r="J65">
        <v>5.2699999809265137</v>
      </c>
      <c r="K65">
        <v>5.0669999122619629</v>
      </c>
      <c r="L65">
        <v>108.5500030517578</v>
      </c>
      <c r="M65">
        <v>21.4</v>
      </c>
      <c r="N65">
        <v>33.17</v>
      </c>
      <c r="O65">
        <v>90.529998779296875</v>
      </c>
      <c r="P65">
        <v>1.6986802051320551</v>
      </c>
    </row>
    <row r="66" spans="1:20" x14ac:dyDescent="0.25">
      <c r="A66" s="11">
        <v>44832</v>
      </c>
      <c r="B66">
        <v>62.060001373291016</v>
      </c>
      <c r="C66">
        <v>379.60000610351563</v>
      </c>
      <c r="D66">
        <v>20.969999313354489</v>
      </c>
      <c r="E66">
        <v>161.46000671386719</v>
      </c>
      <c r="F66">
        <v>189.84</v>
      </c>
      <c r="G66">
        <v>71.61</v>
      </c>
      <c r="H66">
        <v>11.020000457763672</v>
      </c>
      <c r="I66">
        <v>11.130000114440918</v>
      </c>
      <c r="J66">
        <v>5.2733001708984375</v>
      </c>
      <c r="K66">
        <v>5.1090002059936523</v>
      </c>
      <c r="L66">
        <v>108.76999664306641</v>
      </c>
      <c r="M66">
        <v>21.41</v>
      </c>
      <c r="N66">
        <v>32.979999999999997</v>
      </c>
      <c r="O66">
        <v>91.010002136230483</v>
      </c>
      <c r="P66">
        <v>1.7165124722116729</v>
      </c>
    </row>
    <row r="67" spans="1:20" x14ac:dyDescent="0.25">
      <c r="A67" s="11">
        <v>44833</v>
      </c>
      <c r="B67">
        <v>60.799999237060547</v>
      </c>
      <c r="C67">
        <v>375.29998779296881</v>
      </c>
      <c r="D67">
        <v>20.729999542236328</v>
      </c>
      <c r="E67">
        <v>157.6199951171875</v>
      </c>
      <c r="F67">
        <v>190.89</v>
      </c>
      <c r="G67">
        <v>70.47</v>
      </c>
      <c r="H67">
        <v>11</v>
      </c>
      <c r="I67">
        <v>11.100000381469728</v>
      </c>
      <c r="J67">
        <v>5.3000001907348633</v>
      </c>
      <c r="K67">
        <v>5.0669999122619629</v>
      </c>
      <c r="L67">
        <v>108.59999847412109</v>
      </c>
      <c r="M67">
        <v>21.35</v>
      </c>
      <c r="N67">
        <v>33.01</v>
      </c>
      <c r="O67">
        <v>89.101997375488281</v>
      </c>
      <c r="P67">
        <v>1.7068775599877337</v>
      </c>
    </row>
    <row r="68" spans="1:20" x14ac:dyDescent="0.25">
      <c r="A68" s="11">
        <v>44834</v>
      </c>
      <c r="B68">
        <v>59.990001678466797</v>
      </c>
      <c r="C68">
        <v>377.5</v>
      </c>
      <c r="D68">
        <v>20.760000228881839</v>
      </c>
      <c r="E68">
        <v>158.52000427246094</v>
      </c>
      <c r="F68">
        <v>191.17</v>
      </c>
      <c r="G68">
        <v>69.739999999999995</v>
      </c>
      <c r="H68">
        <v>10.989999771118164</v>
      </c>
      <c r="I68">
        <v>11.100000381469728</v>
      </c>
      <c r="J68">
        <v>5.2836999893188477</v>
      </c>
      <c r="K68">
        <v>5.1034998893737793</v>
      </c>
      <c r="L68">
        <v>108.73000335693359</v>
      </c>
      <c r="M68">
        <v>21.38</v>
      </c>
      <c r="N68">
        <v>33.01</v>
      </c>
      <c r="O68">
        <v>90.003997802734375</v>
      </c>
      <c r="P68">
        <v>1.7065885305382789</v>
      </c>
      <c r="Q68">
        <v>1.6433421923432348</v>
      </c>
      <c r="R68">
        <v>1.1229141436835381</v>
      </c>
      <c r="S68">
        <v>1.0677058927779033</v>
      </c>
      <c r="T68">
        <v>1</v>
      </c>
    </row>
    <row r="69" spans="1:20" x14ac:dyDescent="0.25">
      <c r="A69" s="11">
        <v>44837</v>
      </c>
      <c r="B69">
        <v>61.779998779296882</v>
      </c>
      <c r="C69">
        <v>376.75</v>
      </c>
      <c r="D69">
        <v>21.129999160766602</v>
      </c>
      <c r="E69">
        <v>158.53999328613281</v>
      </c>
      <c r="F69">
        <v>190.05</v>
      </c>
      <c r="G69">
        <v>71.09</v>
      </c>
      <c r="H69">
        <v>11.020000457763672</v>
      </c>
      <c r="I69">
        <v>11.140000343322754</v>
      </c>
      <c r="J69">
        <v>5.2600002288818359</v>
      </c>
      <c r="K69">
        <v>5.1970000267028809</v>
      </c>
      <c r="L69">
        <v>108.73000335693359</v>
      </c>
      <c r="M69">
        <v>21.45</v>
      </c>
      <c r="N69">
        <v>33.049999999999997</v>
      </c>
      <c r="O69">
        <v>89.819999694824219</v>
      </c>
      <c r="P69">
        <v>1.7048237364561578</v>
      </c>
    </row>
    <row r="70" spans="1:20" x14ac:dyDescent="0.25">
      <c r="A70" s="11">
        <v>44838</v>
      </c>
      <c r="B70">
        <v>64.110000610351563</v>
      </c>
      <c r="C70">
        <v>389.85000610351563</v>
      </c>
      <c r="D70">
        <v>21.760000228881839</v>
      </c>
      <c r="E70">
        <v>162.10000610351563</v>
      </c>
      <c r="F70">
        <v>197.99</v>
      </c>
      <c r="G70">
        <v>73.599999999999994</v>
      </c>
      <c r="H70">
        <v>11.039999961853027</v>
      </c>
      <c r="I70">
        <v>11.180000305175779</v>
      </c>
      <c r="J70">
        <v>5.3116998672485352</v>
      </c>
      <c r="K70">
        <v>5.2100000381469727</v>
      </c>
      <c r="L70">
        <v>109.04000091552734</v>
      </c>
      <c r="M70">
        <v>21.68</v>
      </c>
      <c r="N70">
        <v>33.229999999999997</v>
      </c>
      <c r="O70">
        <v>90.068000793457031</v>
      </c>
      <c r="P70">
        <v>1.7278716340580431</v>
      </c>
    </row>
    <row r="71" spans="1:20" x14ac:dyDescent="0.25">
      <c r="A71" s="11">
        <v>44839</v>
      </c>
      <c r="B71">
        <v>63.970001220703125</v>
      </c>
      <c r="C71">
        <v>386.25</v>
      </c>
      <c r="D71">
        <v>21.590000152587891</v>
      </c>
      <c r="E71">
        <v>162</v>
      </c>
      <c r="F71">
        <v>197.54</v>
      </c>
      <c r="G71">
        <v>73.349999999999994</v>
      </c>
      <c r="H71">
        <v>11.020000457763672</v>
      </c>
      <c r="I71">
        <v>11.159999847412109</v>
      </c>
      <c r="J71">
        <v>5.2699999809265137</v>
      </c>
      <c r="K71">
        <v>5.1345000267028809</v>
      </c>
      <c r="L71">
        <v>108.77999877929688</v>
      </c>
      <c r="M71">
        <v>21.67</v>
      </c>
      <c r="N71">
        <v>33.39</v>
      </c>
      <c r="O71">
        <v>90.603996276855483</v>
      </c>
      <c r="P71">
        <v>1.6970588272894389</v>
      </c>
    </row>
    <row r="72" spans="1:20" x14ac:dyDescent="0.25">
      <c r="A72" s="11">
        <v>44840</v>
      </c>
      <c r="B72">
        <v>63.450000762939453</v>
      </c>
      <c r="C72">
        <v>389.10000610351563</v>
      </c>
      <c r="D72">
        <v>21.5</v>
      </c>
      <c r="E72">
        <v>163.13999938964844</v>
      </c>
      <c r="F72">
        <v>197.43</v>
      </c>
      <c r="G72">
        <v>72.599999999999994</v>
      </c>
      <c r="H72">
        <v>11.010000228881836</v>
      </c>
      <c r="I72">
        <v>11.149999618530272</v>
      </c>
      <c r="J72">
        <v>5.25</v>
      </c>
      <c r="K72">
        <v>5.1579999923706055</v>
      </c>
      <c r="L72">
        <v>108.75</v>
      </c>
      <c r="M72">
        <v>21.7</v>
      </c>
      <c r="N72">
        <v>33.4</v>
      </c>
      <c r="O72">
        <v>91.267997741699219</v>
      </c>
      <c r="P72">
        <v>1.6894808829706591</v>
      </c>
    </row>
    <row r="73" spans="1:20" x14ac:dyDescent="0.25">
      <c r="A73" s="11">
        <v>44841</v>
      </c>
      <c r="B73">
        <v>61.349998474121087</v>
      </c>
      <c r="C73">
        <v>378.25</v>
      </c>
      <c r="D73">
        <v>21.090000152587891</v>
      </c>
      <c r="E73">
        <v>160</v>
      </c>
      <c r="F73">
        <v>192.53</v>
      </c>
      <c r="G73">
        <v>70.760000000000005</v>
      </c>
      <c r="H73">
        <v>10.989999771118164</v>
      </c>
      <c r="I73">
        <v>11.130000114440918</v>
      </c>
      <c r="J73">
        <v>5.2836999893188477</v>
      </c>
      <c r="K73">
        <v>5.1059999465942383</v>
      </c>
      <c r="L73">
        <v>108.5</v>
      </c>
      <c r="M73">
        <v>21.63</v>
      </c>
      <c r="N73">
        <v>33.36</v>
      </c>
      <c r="O73">
        <v>91.045997619628906</v>
      </c>
      <c r="P73">
        <v>1.6888223589466038</v>
      </c>
    </row>
    <row r="74" spans="1:20" x14ac:dyDescent="0.25">
      <c r="A74" s="11">
        <v>44844</v>
      </c>
      <c r="B74">
        <v>60.580001831054688</v>
      </c>
      <c r="C74">
        <v>372.75</v>
      </c>
      <c r="D74">
        <v>21</v>
      </c>
      <c r="E74">
        <v>159.16000366210938</v>
      </c>
      <c r="F74">
        <v>189.84</v>
      </c>
      <c r="G74">
        <v>69.97</v>
      </c>
      <c r="H74">
        <v>10.989999771118164</v>
      </c>
      <c r="I74">
        <v>11.130000114440918</v>
      </c>
      <c r="J74">
        <v>5.2399997711181641</v>
      </c>
      <c r="K74">
        <v>5.0430002212524414</v>
      </c>
      <c r="L74">
        <v>108.65000152587891</v>
      </c>
      <c r="M74">
        <v>21.62</v>
      </c>
      <c r="N74">
        <v>33.31</v>
      </c>
      <c r="O74">
        <v>90.302001953125</v>
      </c>
      <c r="P74">
        <v>1.682558883548644</v>
      </c>
    </row>
    <row r="75" spans="1:20" x14ac:dyDescent="0.25">
      <c r="A75" s="11">
        <v>44845</v>
      </c>
      <c r="B75">
        <v>59.630001068115234</v>
      </c>
      <c r="C75">
        <v>372.10000610351563</v>
      </c>
      <c r="D75">
        <v>20.889999389648441</v>
      </c>
      <c r="E75">
        <v>158.13999938964844</v>
      </c>
      <c r="F75">
        <v>187.63</v>
      </c>
      <c r="G75">
        <v>69.28</v>
      </c>
      <c r="H75">
        <v>10.989999771118164</v>
      </c>
      <c r="I75">
        <v>11.109999656677246</v>
      </c>
      <c r="J75">
        <v>5.2719998359680176</v>
      </c>
      <c r="K75">
        <v>5.0539999008178711</v>
      </c>
      <c r="L75">
        <v>108.65000152587891</v>
      </c>
      <c r="M75">
        <v>21.47</v>
      </c>
      <c r="N75">
        <v>33.19</v>
      </c>
      <c r="O75">
        <v>90.402000427246094</v>
      </c>
      <c r="P75">
        <v>1.690584795370019</v>
      </c>
    </row>
    <row r="76" spans="1:20" x14ac:dyDescent="0.25">
      <c r="A76" s="11">
        <v>44846</v>
      </c>
      <c r="B76">
        <v>59.389999389648438</v>
      </c>
      <c r="C76">
        <v>370.64999389648438</v>
      </c>
      <c r="D76">
        <v>20.770000457763672</v>
      </c>
      <c r="E76">
        <v>157.66000366210938</v>
      </c>
      <c r="F76">
        <v>188.94</v>
      </c>
      <c r="G76">
        <v>69.19</v>
      </c>
      <c r="H76">
        <v>10.989999771118164</v>
      </c>
      <c r="I76">
        <v>11.109999656677246</v>
      </c>
      <c r="J76">
        <v>5.2399997711181641</v>
      </c>
      <c r="K76">
        <v>5.0300002098083496</v>
      </c>
      <c r="L76">
        <v>108.55999755859376</v>
      </c>
      <c r="M76">
        <v>21.45</v>
      </c>
      <c r="N76">
        <v>33.1</v>
      </c>
      <c r="O76">
        <v>90.456001281738281</v>
      </c>
      <c r="P76">
        <v>1.6671187775554546</v>
      </c>
    </row>
    <row r="77" spans="1:20" x14ac:dyDescent="0.25">
      <c r="A77" s="11">
        <v>44847</v>
      </c>
      <c r="B77">
        <v>60.509998321533203</v>
      </c>
      <c r="C77">
        <v>373.35000610351563</v>
      </c>
      <c r="D77">
        <v>21.399999618530277</v>
      </c>
      <c r="E77">
        <v>157.89999389648438</v>
      </c>
      <c r="F77">
        <v>184.76</v>
      </c>
      <c r="G77">
        <v>70.25</v>
      </c>
      <c r="H77">
        <v>10.949999809265137</v>
      </c>
      <c r="I77">
        <v>11.069999694824221</v>
      </c>
      <c r="J77">
        <v>5.255000114440918</v>
      </c>
      <c r="K77">
        <v>5.0269999504089364</v>
      </c>
      <c r="L77">
        <v>108.33499908447266</v>
      </c>
      <c r="M77">
        <v>21.4</v>
      </c>
      <c r="N77">
        <v>33.04</v>
      </c>
      <c r="O77">
        <v>89.7760009765625</v>
      </c>
      <c r="P77">
        <v>1.6659715850677459</v>
      </c>
    </row>
    <row r="78" spans="1:20" x14ac:dyDescent="0.25">
      <c r="A78" s="11">
        <v>44848</v>
      </c>
      <c r="B78">
        <v>58.770000457763672</v>
      </c>
      <c r="C78">
        <v>373.45001220703131</v>
      </c>
      <c r="D78">
        <v>21.090000152587891</v>
      </c>
      <c r="E78">
        <v>158.10000610351563</v>
      </c>
      <c r="F78">
        <v>192.75</v>
      </c>
      <c r="G78">
        <v>68.900000000000006</v>
      </c>
      <c r="H78">
        <v>10.949999809265137</v>
      </c>
      <c r="I78">
        <v>11.060000419616699</v>
      </c>
      <c r="J78">
        <v>5.2600002288818359</v>
      </c>
      <c r="K78">
        <v>4.9945001602172852</v>
      </c>
      <c r="L78">
        <v>108.33000183105467</v>
      </c>
      <c r="M78">
        <v>21.42</v>
      </c>
      <c r="N78">
        <v>33.090000000000003</v>
      </c>
      <c r="O78">
        <v>90.197998046875</v>
      </c>
      <c r="P78">
        <v>1.6537939583853636</v>
      </c>
    </row>
    <row r="79" spans="1:20" x14ac:dyDescent="0.25">
      <c r="A79" s="11">
        <v>44851</v>
      </c>
      <c r="B79">
        <v>60.520000457763672</v>
      </c>
      <c r="C79">
        <v>378.64999389648438</v>
      </c>
      <c r="D79">
        <v>21.399999618530277</v>
      </c>
      <c r="E79">
        <v>159.72000122070313</v>
      </c>
      <c r="F79">
        <v>192.74</v>
      </c>
      <c r="G79">
        <v>70.53</v>
      </c>
      <c r="H79">
        <v>10.960000038146973</v>
      </c>
      <c r="I79">
        <v>11.079999923706056</v>
      </c>
      <c r="J79">
        <v>5.2575998306274414</v>
      </c>
      <c r="K79">
        <v>5.0279998779296884</v>
      </c>
      <c r="L79">
        <v>108.48999786376952</v>
      </c>
      <c r="M79">
        <v>21.48</v>
      </c>
      <c r="N79">
        <v>33.1</v>
      </c>
      <c r="O79">
        <v>90.545997619628906</v>
      </c>
      <c r="P79">
        <v>1.6576485727923898</v>
      </c>
    </row>
    <row r="80" spans="1:20" x14ac:dyDescent="0.25">
      <c r="A80" s="11">
        <v>44852</v>
      </c>
      <c r="B80">
        <v>61.360000610351563</v>
      </c>
      <c r="C80">
        <v>380.45001220703131</v>
      </c>
      <c r="D80">
        <v>21.590000152587891</v>
      </c>
      <c r="E80">
        <v>159.66000366210938</v>
      </c>
      <c r="F80">
        <v>196.07</v>
      </c>
      <c r="G80">
        <v>71.23</v>
      </c>
      <c r="H80">
        <v>10.970000267028809</v>
      </c>
      <c r="I80">
        <v>11.100000381469728</v>
      </c>
      <c r="J80">
        <v>5.2199997901916504</v>
      </c>
      <c r="K80">
        <v>5.0069999694824219</v>
      </c>
      <c r="L80">
        <v>108.37999725341795</v>
      </c>
      <c r="M80">
        <v>21.57</v>
      </c>
      <c r="N80">
        <v>33.25</v>
      </c>
      <c r="O80">
        <v>90.482002258300781</v>
      </c>
      <c r="P80">
        <v>1.6527833879580416</v>
      </c>
    </row>
    <row r="81" spans="1:20" x14ac:dyDescent="0.25">
      <c r="A81" s="11">
        <v>44853</v>
      </c>
      <c r="B81">
        <v>60.590000152587891</v>
      </c>
      <c r="C81">
        <v>381.79998779296881</v>
      </c>
      <c r="D81">
        <v>21.360000610351559</v>
      </c>
      <c r="E81">
        <v>160.08000183105469</v>
      </c>
      <c r="F81">
        <v>191.88</v>
      </c>
      <c r="G81">
        <v>70.47</v>
      </c>
      <c r="H81">
        <v>10.939999580383301</v>
      </c>
      <c r="I81">
        <v>11.060000419616699</v>
      </c>
      <c r="J81">
        <v>5.2049999237060547</v>
      </c>
      <c r="K81">
        <v>4.9899997711181641</v>
      </c>
      <c r="L81">
        <v>108.3000030517578</v>
      </c>
      <c r="M81">
        <v>21.52</v>
      </c>
      <c r="N81">
        <v>33.229999999999997</v>
      </c>
      <c r="O81">
        <v>90.641998291015625</v>
      </c>
      <c r="P81">
        <v>1.6672110344670639</v>
      </c>
    </row>
    <row r="82" spans="1:20" x14ac:dyDescent="0.25">
      <c r="A82" s="11">
        <v>44854</v>
      </c>
      <c r="B82">
        <v>60.279998779296882</v>
      </c>
      <c r="C82">
        <v>383.39999389648438</v>
      </c>
      <c r="D82">
        <v>21.290000915527344</v>
      </c>
      <c r="E82">
        <v>160.72000122070313</v>
      </c>
      <c r="F82">
        <v>191.18</v>
      </c>
      <c r="G82">
        <v>70.010000000000005</v>
      </c>
      <c r="H82">
        <v>10.930000305175779</v>
      </c>
      <c r="I82">
        <v>11.050000190734863</v>
      </c>
      <c r="J82">
        <v>5.2600002288818359</v>
      </c>
      <c r="K82">
        <v>4.9770002365112314</v>
      </c>
      <c r="L82">
        <v>108.23500061035156</v>
      </c>
      <c r="M82">
        <v>21.5</v>
      </c>
      <c r="N82">
        <v>33.19</v>
      </c>
      <c r="O82">
        <v>90.433998107910156</v>
      </c>
      <c r="P82">
        <v>1.6927756206721549</v>
      </c>
    </row>
    <row r="83" spans="1:20" x14ac:dyDescent="0.25">
      <c r="A83" s="11">
        <v>44855</v>
      </c>
      <c r="B83">
        <v>61.740001678466797</v>
      </c>
      <c r="C83">
        <v>381.25</v>
      </c>
      <c r="D83">
        <v>21.239999771118164</v>
      </c>
      <c r="E83">
        <v>159.86000061035156</v>
      </c>
      <c r="F83">
        <v>190.03</v>
      </c>
      <c r="G83">
        <v>71.27</v>
      </c>
      <c r="H83">
        <v>10.949999809265137</v>
      </c>
      <c r="I83">
        <v>11.050000190734863</v>
      </c>
      <c r="J83">
        <v>5.2360000610351563</v>
      </c>
      <c r="K83">
        <v>4.9190001487731934</v>
      </c>
      <c r="L83">
        <v>108.30999755859376</v>
      </c>
      <c r="M83">
        <v>21.5</v>
      </c>
      <c r="N83">
        <v>33.11</v>
      </c>
      <c r="O83">
        <v>90.388000488281236</v>
      </c>
      <c r="P83">
        <v>1.6830713940058082</v>
      </c>
    </row>
    <row r="84" spans="1:20" x14ac:dyDescent="0.25">
      <c r="A84" s="11">
        <v>44858</v>
      </c>
      <c r="B84">
        <v>62.459999084472656</v>
      </c>
      <c r="C84">
        <v>389.25</v>
      </c>
      <c r="D84">
        <v>21.370000839233398</v>
      </c>
      <c r="E84">
        <v>160.89999389648438</v>
      </c>
      <c r="F84">
        <v>194.1</v>
      </c>
      <c r="G84">
        <v>71.73</v>
      </c>
      <c r="H84">
        <v>10.960000038146973</v>
      </c>
      <c r="I84">
        <v>11.069999694824221</v>
      </c>
      <c r="J84">
        <v>5.2300000190734863</v>
      </c>
      <c r="K84">
        <v>4.9432501792907724</v>
      </c>
      <c r="L84">
        <v>108.37000274658205</v>
      </c>
      <c r="M84">
        <v>21.53</v>
      </c>
      <c r="N84">
        <v>33.29</v>
      </c>
      <c r="O84">
        <v>90.265998840332045</v>
      </c>
      <c r="P84">
        <v>1.6793152003498484</v>
      </c>
    </row>
    <row r="85" spans="1:20" x14ac:dyDescent="0.25">
      <c r="A85" s="11">
        <v>44859</v>
      </c>
      <c r="B85">
        <v>63.830001831054688</v>
      </c>
      <c r="C85">
        <v>396.29998779296881</v>
      </c>
      <c r="D85">
        <v>21.620000839233398</v>
      </c>
      <c r="E85">
        <v>162.39999389648438</v>
      </c>
      <c r="F85">
        <v>196.73</v>
      </c>
      <c r="G85">
        <v>73.58</v>
      </c>
      <c r="H85">
        <v>10.970000267028809</v>
      </c>
      <c r="I85">
        <v>11.090000152587891</v>
      </c>
      <c r="J85">
        <v>5.2562999725341797</v>
      </c>
      <c r="K85">
        <v>5.0300002098083496</v>
      </c>
      <c r="L85">
        <v>108.51000213623048</v>
      </c>
      <c r="M85">
        <v>21.64</v>
      </c>
      <c r="N85">
        <v>33.36</v>
      </c>
      <c r="O85">
        <v>90</v>
      </c>
      <c r="P85">
        <v>1.7093125755480854</v>
      </c>
    </row>
    <row r="86" spans="1:20" x14ac:dyDescent="0.25">
      <c r="A86" s="11">
        <v>44860</v>
      </c>
      <c r="B86">
        <v>63.220001220703125</v>
      </c>
      <c r="C86">
        <v>400.35000610351563</v>
      </c>
      <c r="D86">
        <v>21.670000076293945</v>
      </c>
      <c r="E86">
        <v>162.75999450683594</v>
      </c>
      <c r="F86">
        <v>196.7</v>
      </c>
      <c r="G86">
        <v>73.53</v>
      </c>
      <c r="H86">
        <v>10.979999542236328</v>
      </c>
      <c r="I86">
        <v>11.119999885559082</v>
      </c>
      <c r="J86">
        <v>5.2593002319335938</v>
      </c>
      <c r="K86">
        <v>5.0560002326965332</v>
      </c>
      <c r="L86">
        <v>108.55999755859376</v>
      </c>
      <c r="M86">
        <v>21.73</v>
      </c>
      <c r="N86">
        <v>33.43</v>
      </c>
      <c r="O86">
        <v>89.694000244140625</v>
      </c>
      <c r="P86">
        <v>1.7105118758831008</v>
      </c>
    </row>
    <row r="87" spans="1:20" x14ac:dyDescent="0.25">
      <c r="A87" s="11">
        <v>44861</v>
      </c>
      <c r="B87">
        <v>63.189998626708977</v>
      </c>
      <c r="C87">
        <v>395.35000610351563</v>
      </c>
      <c r="D87">
        <v>21.600000381469727</v>
      </c>
      <c r="E87">
        <v>162.69999694824219</v>
      </c>
      <c r="F87">
        <v>195.79</v>
      </c>
      <c r="G87">
        <v>73.319999999999993</v>
      </c>
      <c r="H87">
        <v>11</v>
      </c>
      <c r="I87">
        <v>11.140000343322754</v>
      </c>
      <c r="J87">
        <v>5.25</v>
      </c>
      <c r="K87">
        <v>5.0770001411437988</v>
      </c>
      <c r="L87">
        <v>108.6999969482422</v>
      </c>
      <c r="M87">
        <v>21.82</v>
      </c>
      <c r="N87">
        <v>33.58</v>
      </c>
      <c r="O87">
        <v>90.377998352050781</v>
      </c>
      <c r="P87">
        <v>1.7203702127865381</v>
      </c>
    </row>
    <row r="88" spans="1:20" x14ac:dyDescent="0.25">
      <c r="A88" s="11">
        <v>44862</v>
      </c>
      <c r="B88">
        <v>64.680000305175781</v>
      </c>
      <c r="C88">
        <v>398.35000610351563</v>
      </c>
      <c r="D88">
        <v>21.639999389648441</v>
      </c>
      <c r="E88">
        <v>163.5</v>
      </c>
      <c r="F88">
        <v>197.4</v>
      </c>
      <c r="G88">
        <v>74.95</v>
      </c>
      <c r="H88">
        <v>10.979999542236328</v>
      </c>
      <c r="I88">
        <v>11.130000114440918</v>
      </c>
      <c r="J88">
        <v>5.320000171661377</v>
      </c>
      <c r="K88">
        <v>5.060999870300293</v>
      </c>
      <c r="L88">
        <v>109</v>
      </c>
      <c r="M88">
        <v>21.9</v>
      </c>
      <c r="N88">
        <v>33.67</v>
      </c>
      <c r="O88">
        <v>92.0780029296875</v>
      </c>
      <c r="P88">
        <v>1.717654809808338</v>
      </c>
    </row>
    <row r="89" spans="1:20" x14ac:dyDescent="0.25">
      <c r="A89" s="11">
        <v>44865</v>
      </c>
      <c r="B89">
        <v>64</v>
      </c>
      <c r="C89">
        <v>399.25</v>
      </c>
      <c r="E89">
        <v>164.91999816894531</v>
      </c>
      <c r="F89">
        <v>198.28</v>
      </c>
      <c r="G89">
        <v>74.33</v>
      </c>
      <c r="J89">
        <v>5.2697000503540039</v>
      </c>
      <c r="K89">
        <v>5.0529999732971191</v>
      </c>
      <c r="L89">
        <v>108.51999664306641</v>
      </c>
      <c r="M89">
        <v>21.92</v>
      </c>
      <c r="N89">
        <v>33.83</v>
      </c>
      <c r="O89">
        <v>91.573997497558594</v>
      </c>
      <c r="P89">
        <v>1.7077831425096557</v>
      </c>
      <c r="Q89">
        <v>1.6448212003163436</v>
      </c>
      <c r="R89">
        <v>1.1296516285456393</v>
      </c>
      <c r="S89">
        <v>1.076033998741571</v>
      </c>
      <c r="T89">
        <v>1</v>
      </c>
    </row>
    <row r="90" spans="1:20" x14ac:dyDescent="0.25">
      <c r="A90" s="11">
        <v>44866</v>
      </c>
      <c r="B90">
        <v>63.509998321533203</v>
      </c>
      <c r="C90">
        <v>398</v>
      </c>
      <c r="D90">
        <v>21.670000076293945</v>
      </c>
      <c r="E90">
        <v>165.41999816894531</v>
      </c>
      <c r="H90">
        <v>10.960000038146973</v>
      </c>
      <c r="I90">
        <v>11.119999885559082</v>
      </c>
      <c r="J90">
        <v>5.2634000778198242</v>
      </c>
      <c r="K90">
        <v>5.0739998817443848</v>
      </c>
      <c r="L90">
        <v>108.72000122070313</v>
      </c>
      <c r="O90">
        <v>91.636001586914063</v>
      </c>
      <c r="P90">
        <v>1.7044219037663011</v>
      </c>
    </row>
    <row r="91" spans="1:20" x14ac:dyDescent="0.25">
      <c r="A91" s="11">
        <v>44867</v>
      </c>
      <c r="B91">
        <v>61.479999542236328</v>
      </c>
      <c r="C91">
        <v>394.70001220703131</v>
      </c>
      <c r="D91">
        <v>21.159999847412109</v>
      </c>
      <c r="E91">
        <v>164.58000183105469</v>
      </c>
      <c r="F91">
        <v>196</v>
      </c>
      <c r="G91">
        <v>72.08</v>
      </c>
      <c r="H91">
        <v>10.949999809265137</v>
      </c>
      <c r="I91">
        <v>11.119999885559082</v>
      </c>
      <c r="J91">
        <v>5.2697000503540039</v>
      </c>
      <c r="K91">
        <v>5.0869998931884766</v>
      </c>
      <c r="L91">
        <v>108.62000274658205</v>
      </c>
      <c r="M91">
        <v>21.87</v>
      </c>
      <c r="N91">
        <v>33.74</v>
      </c>
      <c r="O91">
        <v>91.702003479003906</v>
      </c>
      <c r="P91">
        <v>1.6998989723674574</v>
      </c>
    </row>
    <row r="92" spans="1:20" x14ac:dyDescent="0.25">
      <c r="A92" s="11">
        <v>44868</v>
      </c>
      <c r="B92">
        <v>61.029998779296882</v>
      </c>
      <c r="C92">
        <v>386</v>
      </c>
      <c r="D92">
        <v>20.889999389648441</v>
      </c>
      <c r="E92">
        <v>163.08000183105469</v>
      </c>
      <c r="F92">
        <v>189.74</v>
      </c>
      <c r="G92">
        <v>71.09</v>
      </c>
      <c r="H92">
        <v>10.930000305175779</v>
      </c>
      <c r="I92">
        <v>11.079999923706056</v>
      </c>
      <c r="J92">
        <v>5.2526998519897461</v>
      </c>
      <c r="K92">
        <v>5.0089998245239258</v>
      </c>
      <c r="L92">
        <v>108.16000366210938</v>
      </c>
      <c r="M92">
        <v>21.75</v>
      </c>
      <c r="N92">
        <v>33.56</v>
      </c>
      <c r="O92">
        <v>91.454002380371094</v>
      </c>
      <c r="P92">
        <v>1.6862571442919243</v>
      </c>
    </row>
    <row r="93" spans="1:20" x14ac:dyDescent="0.25">
      <c r="A93" s="11">
        <v>44869</v>
      </c>
      <c r="B93">
        <v>62.029998779296882</v>
      </c>
      <c r="C93">
        <v>385.04998779296881</v>
      </c>
      <c r="D93">
        <v>21.229999542236328</v>
      </c>
      <c r="E93">
        <v>162.05999755859375</v>
      </c>
      <c r="F93">
        <v>192.34</v>
      </c>
      <c r="G93">
        <v>72.33</v>
      </c>
      <c r="H93">
        <v>10.939999580383301</v>
      </c>
      <c r="I93">
        <v>11.090000152587891</v>
      </c>
      <c r="J93">
        <v>5.2638001441955566</v>
      </c>
      <c r="K93">
        <v>5.0370001792907724</v>
      </c>
      <c r="L93">
        <v>108.19000244140624</v>
      </c>
      <c r="M93">
        <v>21.79</v>
      </c>
      <c r="N93">
        <v>33.619999999999997</v>
      </c>
      <c r="O93">
        <v>90.435997009277344</v>
      </c>
      <c r="P93">
        <v>1.6710991233304389</v>
      </c>
    </row>
    <row r="94" spans="1:20" x14ac:dyDescent="0.25">
      <c r="A94" s="11">
        <v>44872</v>
      </c>
      <c r="B94">
        <v>63.169998168945313</v>
      </c>
      <c r="C94">
        <v>390.64999389648438</v>
      </c>
      <c r="D94">
        <v>21.389999389648441</v>
      </c>
      <c r="E94">
        <v>163.08000183105469</v>
      </c>
      <c r="F94">
        <v>192.8</v>
      </c>
      <c r="G94">
        <v>73.02</v>
      </c>
      <c r="H94">
        <v>10.930000305175779</v>
      </c>
      <c r="I94">
        <v>11.090000152587891</v>
      </c>
      <c r="J94">
        <v>5.2800002098083496</v>
      </c>
      <c r="K94">
        <v>5.0260000228881836</v>
      </c>
      <c r="L94">
        <v>108.18000030517578</v>
      </c>
      <c r="M94">
        <v>21.82</v>
      </c>
      <c r="N94">
        <v>33.67</v>
      </c>
      <c r="O94">
        <v>89.912002563476563</v>
      </c>
      <c r="P94">
        <v>1.6733875620134675</v>
      </c>
    </row>
    <row r="95" spans="1:20" x14ac:dyDescent="0.25">
      <c r="A95" s="11">
        <v>44873</v>
      </c>
      <c r="B95">
        <v>63.770000457763672</v>
      </c>
      <c r="C95">
        <v>397.5</v>
      </c>
      <c r="D95">
        <v>21.520000457763672</v>
      </c>
      <c r="E95">
        <v>164.6199951171875</v>
      </c>
      <c r="F95">
        <v>195.25</v>
      </c>
      <c r="G95">
        <v>73.73</v>
      </c>
      <c r="H95">
        <v>10.949999809265137</v>
      </c>
      <c r="I95">
        <v>11.109999656677246</v>
      </c>
      <c r="J95">
        <v>5.3000001907348633</v>
      </c>
      <c r="K95">
        <v>5.0560002326965332</v>
      </c>
      <c r="L95">
        <v>108.1999969482422</v>
      </c>
      <c r="M95">
        <v>21.82</v>
      </c>
      <c r="N95">
        <v>33.67</v>
      </c>
      <c r="O95">
        <v>89.435997009277344</v>
      </c>
      <c r="P95">
        <v>1.671384346200389</v>
      </c>
    </row>
    <row r="96" spans="1:20" x14ac:dyDescent="0.25">
      <c r="A96" s="11">
        <v>44874</v>
      </c>
      <c r="B96">
        <v>62.419998168945313</v>
      </c>
      <c r="C96">
        <v>391.85000610351563</v>
      </c>
      <c r="D96">
        <v>21.209999084472656</v>
      </c>
      <c r="E96">
        <v>162.82000732421875</v>
      </c>
      <c r="F96">
        <v>195.16</v>
      </c>
      <c r="G96">
        <v>72.56</v>
      </c>
      <c r="H96">
        <v>10.960000038146973</v>
      </c>
      <c r="I96">
        <v>11.109999656677246</v>
      </c>
      <c r="J96">
        <v>5.2800998687744141</v>
      </c>
      <c r="K96">
        <v>5.0510001182556152</v>
      </c>
      <c r="L96">
        <v>108.26000213623048</v>
      </c>
      <c r="M96">
        <v>21.75</v>
      </c>
      <c r="N96">
        <v>33.65</v>
      </c>
      <c r="O96">
        <v>89.241996765136719</v>
      </c>
      <c r="P96">
        <v>1.6522604668306888</v>
      </c>
    </row>
    <row r="97" spans="1:20" x14ac:dyDescent="0.25">
      <c r="A97" s="11">
        <v>44875</v>
      </c>
      <c r="B97">
        <v>67.25</v>
      </c>
      <c r="C97">
        <v>404.39999389648438</v>
      </c>
      <c r="D97">
        <v>22.260000228881839</v>
      </c>
      <c r="E97">
        <v>166.33999633789063</v>
      </c>
      <c r="F97">
        <v>202.31</v>
      </c>
      <c r="G97">
        <v>77.23</v>
      </c>
      <c r="H97">
        <v>11.020000457763672</v>
      </c>
      <c r="I97">
        <v>11.199999809265137</v>
      </c>
      <c r="J97">
        <v>5.3213000297546387</v>
      </c>
      <c r="K97">
        <v>5.1880002021789551</v>
      </c>
      <c r="L97">
        <v>109.05999755859376</v>
      </c>
      <c r="M97">
        <v>21.97</v>
      </c>
      <c r="N97">
        <v>33.69</v>
      </c>
      <c r="O97">
        <v>89.797996520996094</v>
      </c>
      <c r="P97">
        <v>1.6918077915637739</v>
      </c>
    </row>
    <row r="98" spans="1:20" x14ac:dyDescent="0.25">
      <c r="A98" s="11">
        <v>44876</v>
      </c>
      <c r="B98">
        <v>68.80999755859375</v>
      </c>
      <c r="C98">
        <v>407.95001220703131</v>
      </c>
      <c r="D98">
        <v>22.079999923706051</v>
      </c>
      <c r="E98">
        <v>165.96000671386719</v>
      </c>
      <c r="F98">
        <v>205.89</v>
      </c>
      <c r="G98">
        <v>78.349999999999994</v>
      </c>
      <c r="H98">
        <v>11.020000457763672</v>
      </c>
      <c r="I98">
        <v>11.199999809265137</v>
      </c>
      <c r="J98">
        <v>5.3499999046325684</v>
      </c>
      <c r="K98">
        <v>5.2090001106262207</v>
      </c>
      <c r="L98">
        <v>109</v>
      </c>
      <c r="M98">
        <v>22.03</v>
      </c>
      <c r="N98">
        <v>33.85</v>
      </c>
      <c r="O98">
        <v>88.765998840332031</v>
      </c>
      <c r="P98">
        <v>1.6841877227382831</v>
      </c>
    </row>
    <row r="99" spans="1:20" x14ac:dyDescent="0.25">
      <c r="A99" s="11">
        <v>44879</v>
      </c>
      <c r="B99">
        <v>68.05999755859375</v>
      </c>
      <c r="C99">
        <v>411.35000610351563</v>
      </c>
      <c r="D99">
        <v>21.889999389648441</v>
      </c>
      <c r="E99">
        <v>166.32000732421875</v>
      </c>
      <c r="F99">
        <v>206.72</v>
      </c>
      <c r="G99">
        <v>77.319999999999993</v>
      </c>
      <c r="H99">
        <v>11.020000457763672</v>
      </c>
      <c r="I99">
        <v>11.210000038146973</v>
      </c>
      <c r="J99">
        <v>5.3400001525878906</v>
      </c>
      <c r="K99">
        <v>5.1979999542236328</v>
      </c>
      <c r="L99">
        <v>108.88999938964844</v>
      </c>
      <c r="M99">
        <v>22.1</v>
      </c>
      <c r="N99">
        <v>33.86</v>
      </c>
      <c r="O99">
        <v>88.480003356933594</v>
      </c>
      <c r="P99">
        <v>1.6832130936293832</v>
      </c>
    </row>
    <row r="100" spans="1:20" x14ac:dyDescent="0.25">
      <c r="A100" s="11">
        <v>44880</v>
      </c>
      <c r="B100">
        <v>69.269996643066406</v>
      </c>
      <c r="C100">
        <v>415.20001220703131</v>
      </c>
      <c r="D100">
        <v>22.25</v>
      </c>
      <c r="E100">
        <v>167.55999755859375</v>
      </c>
      <c r="F100">
        <v>209.09</v>
      </c>
      <c r="G100">
        <v>78.47</v>
      </c>
      <c r="H100">
        <v>11.039999961853027</v>
      </c>
      <c r="I100">
        <v>11.239999771118164</v>
      </c>
      <c r="J100">
        <v>5.3366999626159668</v>
      </c>
      <c r="K100">
        <v>5.2579998970031738</v>
      </c>
      <c r="L100">
        <v>108.96499633789063</v>
      </c>
      <c r="M100">
        <v>22.15</v>
      </c>
      <c r="N100">
        <v>33.93</v>
      </c>
      <c r="O100">
        <v>88.505996704101563</v>
      </c>
      <c r="P100">
        <v>1.6897137554571924</v>
      </c>
    </row>
    <row r="101" spans="1:20" x14ac:dyDescent="0.25">
      <c r="A101" s="11">
        <v>44881</v>
      </c>
      <c r="B101">
        <v>67.839996337890625</v>
      </c>
      <c r="C101">
        <v>410.25</v>
      </c>
      <c r="D101">
        <v>21.920000076293945</v>
      </c>
      <c r="E101">
        <v>165.10000610351563</v>
      </c>
      <c r="F101">
        <v>208.05</v>
      </c>
      <c r="G101">
        <v>78.09</v>
      </c>
      <c r="H101">
        <v>11.039999961853027</v>
      </c>
      <c r="I101">
        <v>11.25</v>
      </c>
      <c r="J101">
        <v>5.3600001335144043</v>
      </c>
      <c r="K101">
        <v>5.2789998054504403</v>
      </c>
      <c r="L101">
        <v>109.09500122070313</v>
      </c>
      <c r="M101">
        <v>22.13</v>
      </c>
      <c r="N101">
        <v>33.950000000000003</v>
      </c>
      <c r="O101">
        <v>88.251998901367188</v>
      </c>
      <c r="P101">
        <v>1.6783592754714656</v>
      </c>
    </row>
    <row r="102" spans="1:20" x14ac:dyDescent="0.25">
      <c r="A102" s="11">
        <v>44882</v>
      </c>
      <c r="B102">
        <v>66.970001220703125</v>
      </c>
      <c r="C102">
        <v>405.04998779296881</v>
      </c>
      <c r="D102">
        <v>21.840000152587891</v>
      </c>
      <c r="E102">
        <v>164.44000244140625</v>
      </c>
      <c r="F102">
        <v>204.96</v>
      </c>
      <c r="G102">
        <v>77.61</v>
      </c>
      <c r="H102">
        <v>11.020000457763672</v>
      </c>
      <c r="I102">
        <v>11.229999542236328</v>
      </c>
      <c r="J102">
        <v>5.3260002136230469</v>
      </c>
      <c r="K102">
        <v>5.2589998245239258</v>
      </c>
      <c r="L102">
        <v>108.94499969482422</v>
      </c>
      <c r="M102">
        <v>22.07</v>
      </c>
      <c r="N102">
        <v>33.880000000000003</v>
      </c>
      <c r="O102">
        <v>85.928001403808594</v>
      </c>
      <c r="P102">
        <v>1.6692375661196044</v>
      </c>
    </row>
    <row r="103" spans="1:20" x14ac:dyDescent="0.25">
      <c r="A103" s="11">
        <v>44883</v>
      </c>
      <c r="B103">
        <v>67.069999694824219</v>
      </c>
      <c r="C103">
        <v>408.60000610351563</v>
      </c>
      <c r="D103">
        <v>22.190000534057617</v>
      </c>
      <c r="E103">
        <v>165.60000610351563</v>
      </c>
      <c r="F103">
        <v>207.32</v>
      </c>
      <c r="G103">
        <v>77.87</v>
      </c>
      <c r="H103">
        <v>11.020000457763672</v>
      </c>
      <c r="I103">
        <v>11.229999542236328</v>
      </c>
      <c r="J103">
        <v>5.369999885559082</v>
      </c>
      <c r="K103">
        <v>5.2820000648498535</v>
      </c>
      <c r="L103">
        <v>108.91000366210938</v>
      </c>
      <c r="M103">
        <v>22.1</v>
      </c>
      <c r="N103">
        <v>33.93</v>
      </c>
      <c r="O103">
        <v>86.101997375488281</v>
      </c>
      <c r="P103">
        <v>1.6660673379740014</v>
      </c>
    </row>
    <row r="104" spans="1:20" x14ac:dyDescent="0.25">
      <c r="A104" s="11">
        <v>44886</v>
      </c>
      <c r="B104">
        <v>66.930000305175781</v>
      </c>
      <c r="C104">
        <v>407.54998779296881</v>
      </c>
      <c r="D104">
        <v>22.069999694824219</v>
      </c>
      <c r="E104">
        <v>166.02000427246094</v>
      </c>
      <c r="F104">
        <v>208.45</v>
      </c>
      <c r="G104">
        <v>77.38</v>
      </c>
      <c r="H104">
        <v>11.020000457763672</v>
      </c>
      <c r="I104">
        <v>11.229999542236328</v>
      </c>
      <c r="J104">
        <v>5.3000001907348633</v>
      </c>
      <c r="K104">
        <v>5.2930002212524414</v>
      </c>
      <c r="L104">
        <v>108.87000274658205</v>
      </c>
      <c r="M104">
        <v>22.1</v>
      </c>
      <c r="N104">
        <v>33.909999999999997</v>
      </c>
      <c r="O104">
        <v>86.842002868652344</v>
      </c>
      <c r="P104">
        <v>1.6762257996961281</v>
      </c>
    </row>
    <row r="105" spans="1:20" x14ac:dyDescent="0.25">
      <c r="A105" s="11">
        <v>44887</v>
      </c>
      <c r="B105">
        <v>67.669998168945313</v>
      </c>
      <c r="C105">
        <v>410.25</v>
      </c>
      <c r="D105">
        <v>22.299999237060547</v>
      </c>
      <c r="E105">
        <v>167.08000183105469</v>
      </c>
      <c r="F105">
        <v>207.84</v>
      </c>
      <c r="G105">
        <v>78.34</v>
      </c>
      <c r="H105">
        <v>11.020000457763672</v>
      </c>
      <c r="I105">
        <v>11.239999771118164</v>
      </c>
      <c r="J105">
        <v>5.3000001907348633</v>
      </c>
      <c r="K105">
        <v>5.3020000457763672</v>
      </c>
      <c r="L105">
        <v>108.87999725341795</v>
      </c>
      <c r="M105">
        <v>22.15</v>
      </c>
      <c r="N105">
        <v>33.93</v>
      </c>
      <c r="O105">
        <v>87.041999816894531</v>
      </c>
      <c r="P105">
        <v>1.688897436164456</v>
      </c>
    </row>
    <row r="106" spans="1:20" x14ac:dyDescent="0.25">
      <c r="A106" s="11">
        <v>44888</v>
      </c>
      <c r="B106">
        <v>68.330001831054688</v>
      </c>
      <c r="C106">
        <v>415.64999389648438</v>
      </c>
      <c r="D106">
        <v>22.430000305175781</v>
      </c>
      <c r="E106">
        <v>167.67999267578125</v>
      </c>
      <c r="F106">
        <v>210.68</v>
      </c>
      <c r="G106">
        <v>78.91</v>
      </c>
      <c r="H106">
        <v>11.039999961853027</v>
      </c>
      <c r="I106">
        <v>11.260000228881836</v>
      </c>
      <c r="J106">
        <v>5.369999885559082</v>
      </c>
      <c r="K106">
        <v>5.3480000495910645</v>
      </c>
      <c r="L106">
        <v>108.87999725341795</v>
      </c>
      <c r="M106">
        <v>22.24</v>
      </c>
      <c r="N106">
        <v>33.99</v>
      </c>
      <c r="O106">
        <v>86.886001586914063</v>
      </c>
      <c r="P106">
        <v>1.6873969685439785</v>
      </c>
    </row>
    <row r="107" spans="1:20" x14ac:dyDescent="0.25">
      <c r="A107" s="11">
        <v>44889</v>
      </c>
      <c r="C107">
        <v>417.39999389648438</v>
      </c>
      <c r="E107">
        <v>168.05999755859375</v>
      </c>
      <c r="F107">
        <v>212.1</v>
      </c>
      <c r="K107">
        <v>5.3899998664855957</v>
      </c>
      <c r="L107">
        <v>109.0500030517578</v>
      </c>
      <c r="N107">
        <v>34.1</v>
      </c>
      <c r="O107">
        <v>86.875999450683594</v>
      </c>
      <c r="P107">
        <v>1.679132434775626</v>
      </c>
    </row>
    <row r="108" spans="1:20" x14ac:dyDescent="0.25">
      <c r="A108" s="11">
        <v>44890</v>
      </c>
      <c r="B108">
        <v>68.279998779296875</v>
      </c>
      <c r="C108">
        <v>415.70001220703131</v>
      </c>
      <c r="D108">
        <v>22.459999084472656</v>
      </c>
      <c r="E108">
        <v>167.6199951171875</v>
      </c>
      <c r="F108">
        <v>211.77</v>
      </c>
      <c r="G108">
        <v>79.06</v>
      </c>
      <c r="H108">
        <v>11.039999961853027</v>
      </c>
      <c r="I108">
        <v>11.260000228881836</v>
      </c>
      <c r="J108">
        <v>5.3496999740600586</v>
      </c>
      <c r="K108">
        <v>5.3689999580383301</v>
      </c>
      <c r="L108">
        <v>109</v>
      </c>
      <c r="M108">
        <v>22.28</v>
      </c>
      <c r="N108">
        <v>34.090000000000003</v>
      </c>
      <c r="O108">
        <v>86.646003723144531</v>
      </c>
      <c r="P108">
        <v>1.6753338376420017</v>
      </c>
    </row>
    <row r="109" spans="1:20" x14ac:dyDescent="0.25">
      <c r="A109" s="11">
        <v>44893</v>
      </c>
      <c r="B109">
        <v>66.980003356933594</v>
      </c>
      <c r="C109">
        <v>412.29998779296881</v>
      </c>
      <c r="D109">
        <v>22.159999847412109</v>
      </c>
      <c r="E109">
        <v>166.60000610351563</v>
      </c>
      <c r="F109">
        <v>211.5</v>
      </c>
      <c r="G109">
        <v>78.06</v>
      </c>
      <c r="H109">
        <v>11.039999961853027</v>
      </c>
      <c r="I109">
        <v>11.270000457763672</v>
      </c>
      <c r="J109">
        <v>5.3899998664855957</v>
      </c>
      <c r="K109">
        <v>5.3480000495910645</v>
      </c>
      <c r="L109">
        <v>109.0500030517578</v>
      </c>
      <c r="M109">
        <v>22.23</v>
      </c>
      <c r="N109">
        <v>34.04</v>
      </c>
      <c r="O109">
        <v>86.412002563476563</v>
      </c>
      <c r="P109">
        <v>1.6728912164879184</v>
      </c>
    </row>
    <row r="110" spans="1:20" x14ac:dyDescent="0.25">
      <c r="A110" s="11">
        <v>44894</v>
      </c>
      <c r="B110">
        <v>66.870002746582031</v>
      </c>
      <c r="C110">
        <v>407.85000610351563</v>
      </c>
      <c r="D110">
        <v>22.149999618530277</v>
      </c>
      <c r="E110">
        <v>166.03999328613281</v>
      </c>
      <c r="F110">
        <v>208.66</v>
      </c>
      <c r="G110">
        <v>77.7</v>
      </c>
      <c r="H110">
        <v>11.039999961853027</v>
      </c>
      <c r="I110">
        <v>11.260000228881836</v>
      </c>
      <c r="J110">
        <v>5.309999942779541</v>
      </c>
      <c r="K110">
        <v>5.320000171661377</v>
      </c>
      <c r="L110">
        <v>109.04000091552734</v>
      </c>
      <c r="M110">
        <v>22.21</v>
      </c>
      <c r="N110">
        <v>33.99</v>
      </c>
      <c r="O110">
        <v>86.356002807617188</v>
      </c>
      <c r="P110">
        <v>1.6760925005451899</v>
      </c>
    </row>
    <row r="111" spans="1:20" x14ac:dyDescent="0.25">
      <c r="A111" s="11">
        <v>44895</v>
      </c>
      <c r="B111">
        <v>69.599998474121094</v>
      </c>
      <c r="C111">
        <v>409.04998779296881</v>
      </c>
      <c r="D111">
        <v>22.530000686645508</v>
      </c>
      <c r="E111">
        <v>167.5</v>
      </c>
      <c r="F111">
        <v>209.82</v>
      </c>
      <c r="G111">
        <v>80.239999999999995</v>
      </c>
      <c r="H111">
        <v>11.069999694824221</v>
      </c>
      <c r="I111">
        <v>11.279999732971191</v>
      </c>
      <c r="J111">
        <v>5.309999942779541</v>
      </c>
      <c r="K111">
        <v>5.3020000457763672</v>
      </c>
      <c r="L111">
        <v>108.86000061035156</v>
      </c>
      <c r="M111">
        <v>22.28</v>
      </c>
      <c r="N111">
        <v>34.020000000000003</v>
      </c>
      <c r="O111">
        <v>86.769996643066406</v>
      </c>
      <c r="P111">
        <v>1.6930962074840725</v>
      </c>
      <c r="Q111">
        <v>1.6520584135977354</v>
      </c>
      <c r="R111">
        <v>1.1432074480881869</v>
      </c>
      <c r="S111">
        <v>1.0891616135262181</v>
      </c>
      <c r="T111">
        <v>1</v>
      </c>
    </row>
    <row r="112" spans="1:20" x14ac:dyDescent="0.25">
      <c r="A112" s="11">
        <v>44896</v>
      </c>
      <c r="B112">
        <v>69.779998779296875</v>
      </c>
      <c r="C112">
        <v>420.75</v>
      </c>
      <c r="D112">
        <v>22.909999847412109</v>
      </c>
      <c r="E112">
        <v>168.69999694824219</v>
      </c>
      <c r="F112">
        <v>218.07</v>
      </c>
      <c r="G112">
        <v>81.040000000000006</v>
      </c>
      <c r="H112">
        <v>11.100000381469728</v>
      </c>
      <c r="I112">
        <v>11.329999923706056</v>
      </c>
      <c r="J112">
        <v>5.4000000953674316</v>
      </c>
      <c r="K112">
        <v>5.4079999923706055</v>
      </c>
      <c r="L112">
        <v>109.26000213623048</v>
      </c>
      <c r="M112">
        <v>22.43</v>
      </c>
      <c r="N112">
        <v>34.22</v>
      </c>
      <c r="O112">
        <v>86.58599853515625</v>
      </c>
      <c r="P112">
        <v>1.6898680009607221</v>
      </c>
    </row>
    <row r="113" spans="1:16" x14ac:dyDescent="0.25">
      <c r="A113" s="11">
        <v>44897</v>
      </c>
      <c r="B113">
        <v>69.489997863769531</v>
      </c>
      <c r="C113">
        <v>419.10000610351563</v>
      </c>
      <c r="D113">
        <v>23.059999465942383</v>
      </c>
      <c r="E113">
        <v>167.97999572753906</v>
      </c>
      <c r="F113">
        <v>215.54</v>
      </c>
      <c r="G113">
        <v>80.959999999999994</v>
      </c>
      <c r="H113">
        <v>11.100000381469728</v>
      </c>
      <c r="I113">
        <v>11.340000152587891</v>
      </c>
      <c r="J113">
        <v>5.3299999237060547</v>
      </c>
      <c r="K113">
        <v>5.4250001907348633</v>
      </c>
      <c r="L113">
        <v>109.26000213623048</v>
      </c>
      <c r="M113">
        <v>22.45</v>
      </c>
      <c r="N113">
        <v>34.270000000000003</v>
      </c>
      <c r="O113">
        <v>86.445999145507813</v>
      </c>
      <c r="P113">
        <v>1.6983052277215385</v>
      </c>
    </row>
    <row r="114" spans="1:16" x14ac:dyDescent="0.25">
      <c r="A114" s="11">
        <v>44900</v>
      </c>
      <c r="B114">
        <v>67.94000244140625</v>
      </c>
      <c r="C114">
        <v>415.70001220703131</v>
      </c>
      <c r="D114">
        <v>22.569999694824219</v>
      </c>
      <c r="E114">
        <v>166.63999938964844</v>
      </c>
      <c r="F114">
        <v>215.22</v>
      </c>
      <c r="G114">
        <v>79.44</v>
      </c>
      <c r="H114">
        <v>11.069999694824221</v>
      </c>
      <c r="I114">
        <v>11.319999694824221</v>
      </c>
      <c r="J114">
        <v>5.4000000953674316</v>
      </c>
      <c r="K114">
        <v>5.4239997863769531</v>
      </c>
      <c r="L114">
        <v>109.40000152587891</v>
      </c>
      <c r="M114">
        <v>22.41</v>
      </c>
      <c r="N114">
        <v>34.29</v>
      </c>
      <c r="O114">
        <v>86.124000549316406</v>
      </c>
      <c r="P114">
        <v>1.6813838314322278</v>
      </c>
    </row>
    <row r="115" spans="1:16" x14ac:dyDescent="0.25">
      <c r="A115" s="11">
        <v>44901</v>
      </c>
      <c r="B115">
        <v>66.870002746582031</v>
      </c>
      <c r="C115">
        <v>409.54998779296881</v>
      </c>
      <c r="D115">
        <v>22.290000915527344</v>
      </c>
      <c r="E115">
        <v>164.63999938964844</v>
      </c>
      <c r="F115">
        <v>212.94</v>
      </c>
      <c r="G115">
        <v>78.59</v>
      </c>
      <c r="H115">
        <v>11.079999923706056</v>
      </c>
      <c r="I115">
        <v>11.319999694824221</v>
      </c>
      <c r="J115">
        <v>5.3899998664855957</v>
      </c>
      <c r="K115">
        <v>5.440000057220459</v>
      </c>
      <c r="L115">
        <v>109.1999969482422</v>
      </c>
      <c r="M115">
        <v>22.37</v>
      </c>
      <c r="N115">
        <v>34.200000000000003</v>
      </c>
      <c r="O115">
        <v>85.583999633789063</v>
      </c>
      <c r="P115">
        <v>1.6980810144766409</v>
      </c>
    </row>
    <row r="116" spans="1:16" x14ac:dyDescent="0.25">
      <c r="A116" s="11">
        <v>44902</v>
      </c>
      <c r="B116">
        <v>66.839996337890625</v>
      </c>
      <c r="C116">
        <v>405.89999389648438</v>
      </c>
      <c r="D116">
        <v>22.190000534057617</v>
      </c>
      <c r="E116">
        <v>163.6199951171875</v>
      </c>
      <c r="F116">
        <v>211.36</v>
      </c>
      <c r="G116">
        <v>78.16</v>
      </c>
      <c r="H116">
        <v>11.100000381469728</v>
      </c>
      <c r="I116">
        <v>11.350000381469728</v>
      </c>
      <c r="J116">
        <v>5.3766999244689941</v>
      </c>
      <c r="K116">
        <v>5.4730000495910645</v>
      </c>
      <c r="L116">
        <v>109.38999938964844</v>
      </c>
      <c r="M116">
        <v>22.37</v>
      </c>
      <c r="N116">
        <v>34.119999999999997</v>
      </c>
      <c r="O116">
        <v>85.753997802734375</v>
      </c>
      <c r="P116">
        <v>1.6955940845929454</v>
      </c>
    </row>
    <row r="117" spans="1:16" x14ac:dyDescent="0.25">
      <c r="A117" s="11">
        <v>44903</v>
      </c>
      <c r="B117">
        <v>67.680000305175781</v>
      </c>
      <c r="C117">
        <v>408.95001220703131</v>
      </c>
      <c r="D117">
        <v>22.409999847412109</v>
      </c>
      <c r="E117">
        <v>163.97999572753906</v>
      </c>
      <c r="F117">
        <v>212.63</v>
      </c>
      <c r="G117">
        <v>79.040000000000006</v>
      </c>
      <c r="H117">
        <v>11.100000381469728</v>
      </c>
      <c r="I117">
        <v>11.340000152587891</v>
      </c>
      <c r="J117">
        <v>5.4000000953674316</v>
      </c>
      <c r="K117">
        <v>5.494999885559082</v>
      </c>
      <c r="L117">
        <v>109.40000152587891</v>
      </c>
      <c r="M117">
        <v>22.38</v>
      </c>
      <c r="N117">
        <v>34.159999999999997</v>
      </c>
      <c r="O117">
        <v>85.736000061035156</v>
      </c>
      <c r="P117">
        <v>1.7019933229637723</v>
      </c>
    </row>
    <row r="118" spans="1:16" x14ac:dyDescent="0.25">
      <c r="A118" s="11">
        <v>44904</v>
      </c>
      <c r="B118">
        <v>67.330001831054688</v>
      </c>
      <c r="C118">
        <v>410.20001220703131</v>
      </c>
      <c r="D118">
        <v>22.290000915527344</v>
      </c>
      <c r="E118">
        <v>164.82000732421875</v>
      </c>
      <c r="F118">
        <v>213.42</v>
      </c>
      <c r="G118">
        <v>78.67</v>
      </c>
      <c r="H118">
        <v>11.100000381469728</v>
      </c>
      <c r="I118">
        <v>11.340000152587891</v>
      </c>
      <c r="J118">
        <v>5.3807997703552246</v>
      </c>
      <c r="K118">
        <v>5.4670000076293945</v>
      </c>
      <c r="L118">
        <v>109.40000152587891</v>
      </c>
      <c r="M118">
        <v>22.41</v>
      </c>
      <c r="N118">
        <v>34.15</v>
      </c>
      <c r="O118">
        <v>86.027999877929688</v>
      </c>
      <c r="P118">
        <v>1.705444465073872</v>
      </c>
    </row>
    <row r="119" spans="1:16" x14ac:dyDescent="0.25">
      <c r="A119" s="11">
        <v>44907</v>
      </c>
      <c r="B119">
        <v>68.319999694824219</v>
      </c>
      <c r="C119">
        <v>408.54998779296881</v>
      </c>
      <c r="D119">
        <v>22.430000305175781</v>
      </c>
      <c r="E119">
        <v>163.80000305175781</v>
      </c>
      <c r="F119">
        <v>214.02</v>
      </c>
      <c r="G119">
        <v>79.739999999999995</v>
      </c>
      <c r="H119">
        <v>11.090000152587891</v>
      </c>
      <c r="I119">
        <v>11.329999923706056</v>
      </c>
      <c r="J119">
        <v>5.3899998664855957</v>
      </c>
      <c r="K119">
        <v>5.4569997787475586</v>
      </c>
      <c r="L119">
        <v>109.40000152587891</v>
      </c>
      <c r="M119">
        <v>22.42</v>
      </c>
      <c r="N119">
        <v>34.200000000000003</v>
      </c>
      <c r="O119">
        <v>86.134002685546875</v>
      </c>
      <c r="P119">
        <v>1.6931176784672217</v>
      </c>
    </row>
    <row r="120" spans="1:16" x14ac:dyDescent="0.25">
      <c r="A120" s="11">
        <v>44908</v>
      </c>
      <c r="B120">
        <v>69.349998474121094</v>
      </c>
      <c r="C120">
        <v>418.89999389648438</v>
      </c>
      <c r="D120">
        <v>22.620000839233398</v>
      </c>
      <c r="E120">
        <v>166.17999267578125</v>
      </c>
      <c r="F120">
        <v>220.84</v>
      </c>
      <c r="G120">
        <v>80.59</v>
      </c>
      <c r="H120">
        <v>11.130000114440918</v>
      </c>
      <c r="I120">
        <v>11.390000343322754</v>
      </c>
      <c r="J120">
        <v>5.3951997756958008</v>
      </c>
      <c r="K120">
        <v>5.5060000419616699</v>
      </c>
      <c r="L120">
        <v>109.41500091552734</v>
      </c>
      <c r="M120">
        <v>22.54</v>
      </c>
      <c r="N120">
        <v>34.35</v>
      </c>
      <c r="O120">
        <v>86.092002868652344</v>
      </c>
      <c r="P120">
        <v>1.702235307594328</v>
      </c>
    </row>
    <row r="121" spans="1:16" x14ac:dyDescent="0.25">
      <c r="A121" s="11">
        <v>44909</v>
      </c>
      <c r="B121">
        <v>68.819999694824219</v>
      </c>
      <c r="C121">
        <v>418.70001220703131</v>
      </c>
      <c r="D121">
        <v>22.530000686645508</v>
      </c>
      <c r="E121">
        <v>165.74000549316406</v>
      </c>
      <c r="F121">
        <v>218.49</v>
      </c>
      <c r="G121">
        <v>80.31</v>
      </c>
      <c r="H121">
        <v>11.130000114440918</v>
      </c>
      <c r="I121">
        <v>11.390000343322754</v>
      </c>
      <c r="J121">
        <v>5.4042000770568848</v>
      </c>
      <c r="K121">
        <v>5.4829998016357422</v>
      </c>
      <c r="L121">
        <v>109.6999969482422</v>
      </c>
      <c r="M121">
        <v>22.55</v>
      </c>
      <c r="N121">
        <v>34.42</v>
      </c>
      <c r="O121">
        <v>86.019996643066406</v>
      </c>
      <c r="P121">
        <v>1.6890557186148665</v>
      </c>
    </row>
    <row r="122" spans="1:16" x14ac:dyDescent="0.25">
      <c r="A122" s="11">
        <v>44910</v>
      </c>
      <c r="B122">
        <v>66.669998168945313</v>
      </c>
      <c r="C122">
        <v>403.35000610351563</v>
      </c>
      <c r="D122">
        <v>22.170000076293945</v>
      </c>
      <c r="E122">
        <v>160.27999877929688</v>
      </c>
      <c r="F122">
        <v>212.1</v>
      </c>
      <c r="G122">
        <v>78.069999999999993</v>
      </c>
      <c r="H122">
        <v>11.130000114440918</v>
      </c>
      <c r="I122">
        <v>11.390000343322754</v>
      </c>
      <c r="J122">
        <v>5.3598999977111816</v>
      </c>
      <c r="K122">
        <v>5.4899997711181641</v>
      </c>
      <c r="L122">
        <v>109.66999816894533</v>
      </c>
      <c r="M122">
        <v>22.49</v>
      </c>
      <c r="N122">
        <v>34.340000000000003</v>
      </c>
      <c r="O122">
        <v>85.19000244140625</v>
      </c>
      <c r="P122">
        <v>1.6883505910414589</v>
      </c>
    </row>
    <row r="123" spans="1:16" x14ac:dyDescent="0.25">
      <c r="A123" s="11">
        <v>44911</v>
      </c>
      <c r="B123">
        <v>66.300003051757813</v>
      </c>
      <c r="C123">
        <v>397.45001220703131</v>
      </c>
      <c r="D123">
        <v>21.989999771118164</v>
      </c>
      <c r="E123">
        <v>159.24000549316406</v>
      </c>
      <c r="F123">
        <v>209.49</v>
      </c>
      <c r="G123">
        <v>77.34</v>
      </c>
      <c r="H123">
        <v>11.140000343322754</v>
      </c>
      <c r="I123">
        <v>11.380000114440918</v>
      </c>
      <c r="J123">
        <v>5.3982000350952148</v>
      </c>
      <c r="K123">
        <v>5.4730000495910645</v>
      </c>
      <c r="L123">
        <v>109.66999816894533</v>
      </c>
      <c r="M123">
        <v>22.39</v>
      </c>
      <c r="N123">
        <v>34.159999999999997</v>
      </c>
      <c r="O123">
        <v>85.293998718261719</v>
      </c>
      <c r="P123">
        <v>1.67174080766893</v>
      </c>
    </row>
    <row r="124" spans="1:16" x14ac:dyDescent="0.25">
      <c r="A124" s="11">
        <v>44914</v>
      </c>
      <c r="B124">
        <v>64.849998474121094</v>
      </c>
      <c r="C124">
        <v>395.85000610351563</v>
      </c>
      <c r="D124">
        <v>21.809999465942383</v>
      </c>
      <c r="E124">
        <v>158.72000122070313</v>
      </c>
      <c r="F124">
        <v>207.08</v>
      </c>
      <c r="G124">
        <v>76.81</v>
      </c>
      <c r="H124">
        <v>11.119999885559082</v>
      </c>
      <c r="I124">
        <v>11.369999885559082</v>
      </c>
      <c r="J124">
        <v>5.3534002304077148</v>
      </c>
      <c r="K124">
        <v>5.4050002098083496</v>
      </c>
      <c r="L124">
        <v>109.66999816894533</v>
      </c>
      <c r="M124">
        <v>22.34</v>
      </c>
      <c r="N124">
        <v>34.130000000000003</v>
      </c>
      <c r="O124">
        <v>84.777999877929688</v>
      </c>
      <c r="P124">
        <v>1.6639434235795556</v>
      </c>
    </row>
    <row r="125" spans="1:16" x14ac:dyDescent="0.25">
      <c r="A125" s="11">
        <v>44915</v>
      </c>
      <c r="B125">
        <v>64.919998168945313</v>
      </c>
      <c r="C125">
        <v>394.29998779296881</v>
      </c>
      <c r="D125">
        <v>21.899999618530277</v>
      </c>
      <c r="E125">
        <v>158.24000549316406</v>
      </c>
      <c r="F125">
        <v>205.92</v>
      </c>
      <c r="G125">
        <v>76.760000000000005</v>
      </c>
      <c r="H125">
        <v>11.119999885559082</v>
      </c>
      <c r="I125">
        <v>11.350000381469728</v>
      </c>
      <c r="J125">
        <v>5.3821001052856445</v>
      </c>
      <c r="K125">
        <v>5.3520002365112314</v>
      </c>
      <c r="L125">
        <v>109.61000061035156</v>
      </c>
      <c r="M125">
        <v>22.29</v>
      </c>
      <c r="N125">
        <v>34.06</v>
      </c>
      <c r="O125">
        <v>84.531997680664063</v>
      </c>
      <c r="P125">
        <v>1.6556850041999986</v>
      </c>
    </row>
    <row r="126" spans="1:16" x14ac:dyDescent="0.25">
      <c r="A126" s="11">
        <v>44916</v>
      </c>
      <c r="B126">
        <v>66.120002746582031</v>
      </c>
      <c r="C126">
        <v>401.35000610351563</v>
      </c>
      <c r="D126">
        <v>22.219999313354489</v>
      </c>
      <c r="E126">
        <v>160.86000061035156</v>
      </c>
      <c r="F126">
        <v>207.73</v>
      </c>
      <c r="G126">
        <v>77.92</v>
      </c>
      <c r="H126">
        <v>11.130000114440918</v>
      </c>
      <c r="I126">
        <v>11.369999885559082</v>
      </c>
      <c r="J126">
        <v>5.3850002288818359</v>
      </c>
      <c r="K126">
        <v>5.374000072479248</v>
      </c>
      <c r="L126">
        <v>109.66000366210938</v>
      </c>
      <c r="M126">
        <v>22.35</v>
      </c>
      <c r="N126">
        <v>34.06</v>
      </c>
      <c r="O126">
        <v>85.262001037597656</v>
      </c>
      <c r="P126">
        <v>1.6497788986059123</v>
      </c>
    </row>
    <row r="127" spans="1:16" x14ac:dyDescent="0.25">
      <c r="A127" s="11">
        <v>44917</v>
      </c>
      <c r="B127">
        <v>64.720001220703125</v>
      </c>
      <c r="C127">
        <v>393.89999389648438</v>
      </c>
      <c r="D127">
        <v>21.950000762939453</v>
      </c>
      <c r="E127">
        <v>158.72000122070313</v>
      </c>
      <c r="F127">
        <v>207.45</v>
      </c>
      <c r="G127">
        <v>76.900000000000006</v>
      </c>
      <c r="H127">
        <v>11.130000114440918</v>
      </c>
      <c r="I127">
        <v>11.369999885559082</v>
      </c>
      <c r="J127">
        <v>5.4099998474121094</v>
      </c>
      <c r="K127">
        <v>5.3895001411437988</v>
      </c>
      <c r="L127">
        <v>109.63999938964844</v>
      </c>
      <c r="M127">
        <v>22.34</v>
      </c>
      <c r="N127">
        <v>34.1</v>
      </c>
      <c r="O127">
        <v>85.115997314453125</v>
      </c>
      <c r="P127">
        <v>1.6503326212878111</v>
      </c>
    </row>
    <row r="128" spans="1:16" x14ac:dyDescent="0.25">
      <c r="A128" s="11">
        <v>44918</v>
      </c>
      <c r="B128">
        <v>64.930000305175781</v>
      </c>
      <c r="C128">
        <v>395.25</v>
      </c>
      <c r="D128">
        <v>22.059999465942383</v>
      </c>
      <c r="E128">
        <v>159.02000427246094</v>
      </c>
      <c r="F128">
        <v>206.56</v>
      </c>
      <c r="G128">
        <v>77.010000000000005</v>
      </c>
      <c r="H128">
        <v>11.130000114440918</v>
      </c>
      <c r="I128">
        <v>11.350000381469728</v>
      </c>
      <c r="J128">
        <v>5.3812999725341797</v>
      </c>
      <c r="K128">
        <v>5.379000186920166</v>
      </c>
      <c r="L128">
        <v>109.53500366210938</v>
      </c>
      <c r="M128">
        <v>22.34</v>
      </c>
      <c r="N128">
        <v>34.07</v>
      </c>
      <c r="O128">
        <v>84.952003479003906</v>
      </c>
      <c r="P128">
        <v>1.6745680419366653</v>
      </c>
    </row>
    <row r="129" spans="1:20" x14ac:dyDescent="0.25">
      <c r="A129" s="11">
        <v>44921</v>
      </c>
      <c r="P129">
        <v>1.6710545888686537</v>
      </c>
    </row>
    <row r="130" spans="1:20" x14ac:dyDescent="0.25">
      <c r="A130" s="11">
        <v>44922</v>
      </c>
      <c r="B130">
        <v>64.470001220703125</v>
      </c>
      <c r="C130">
        <v>396.60000610351563</v>
      </c>
      <c r="E130">
        <v>159.17999267578125</v>
      </c>
      <c r="F130">
        <v>207.96</v>
      </c>
      <c r="J130">
        <v>5.369999885559082</v>
      </c>
      <c r="L130">
        <v>109.54000091552734</v>
      </c>
      <c r="M130">
        <v>22.3</v>
      </c>
      <c r="N130">
        <v>34.049999999999997</v>
      </c>
      <c r="O130">
        <v>84.486000061035156</v>
      </c>
      <c r="P130">
        <v>1.670984013622332</v>
      </c>
    </row>
    <row r="131" spans="1:20" x14ac:dyDescent="0.25">
      <c r="A131" s="11">
        <v>44923</v>
      </c>
      <c r="B131">
        <v>63.709999084472656</v>
      </c>
      <c r="C131">
        <v>393.64999389648438</v>
      </c>
      <c r="D131">
        <v>21.829999923706051</v>
      </c>
      <c r="E131">
        <v>158.27999877929688</v>
      </c>
      <c r="F131">
        <v>209.9</v>
      </c>
      <c r="G131">
        <v>76.239999999999995</v>
      </c>
      <c r="H131">
        <v>11.109999656677246</v>
      </c>
      <c r="I131">
        <v>11.329999923706056</v>
      </c>
      <c r="J131">
        <v>5.3583002090454102</v>
      </c>
      <c r="K131">
        <v>5.3000001907348633</v>
      </c>
      <c r="L131">
        <v>109.51999664306641</v>
      </c>
      <c r="M131">
        <v>22.2</v>
      </c>
      <c r="N131">
        <v>34.03</v>
      </c>
      <c r="O131">
        <v>83.867996215820313</v>
      </c>
      <c r="P131">
        <v>1.6696484147470321</v>
      </c>
    </row>
    <row r="132" spans="1:20" x14ac:dyDescent="0.25">
      <c r="A132" s="11">
        <v>44924</v>
      </c>
      <c r="B132">
        <v>65.269996643066406</v>
      </c>
      <c r="C132">
        <v>398.04998779296881</v>
      </c>
      <c r="D132">
        <v>22.190000534057617</v>
      </c>
      <c r="E132">
        <v>159.46000671386719</v>
      </c>
      <c r="F132">
        <v>209.29</v>
      </c>
      <c r="G132">
        <v>77.760000000000005</v>
      </c>
      <c r="H132">
        <v>11.109999656677246</v>
      </c>
      <c r="I132">
        <v>11.329999923706056</v>
      </c>
      <c r="J132">
        <v>5.3593001365661621</v>
      </c>
      <c r="K132">
        <v>5.3095002174377441</v>
      </c>
      <c r="L132">
        <v>109.55999755859376</v>
      </c>
      <c r="M132">
        <v>22.18</v>
      </c>
      <c r="N132">
        <v>33.89</v>
      </c>
      <c r="O132">
        <v>83.424003601074219</v>
      </c>
      <c r="P132">
        <v>1.6863220778164176</v>
      </c>
    </row>
    <row r="133" spans="1:20" x14ac:dyDescent="0.25">
      <c r="A133" s="11">
        <v>44925</v>
      </c>
      <c r="B133">
        <v>64.910003662109375</v>
      </c>
      <c r="C133">
        <v>395.45001220703131</v>
      </c>
      <c r="D133">
        <v>22.239999771118164</v>
      </c>
      <c r="E133">
        <v>158.25999450683594</v>
      </c>
      <c r="F133">
        <v>208.64</v>
      </c>
      <c r="G133">
        <v>77.260000000000005</v>
      </c>
      <c r="H133">
        <v>11.109999656677246</v>
      </c>
      <c r="I133">
        <v>11.329999923706056</v>
      </c>
      <c r="J133">
        <v>5.3600001335144043</v>
      </c>
      <c r="K133">
        <v>5.311500072479248</v>
      </c>
      <c r="L133">
        <v>109.45999908447266</v>
      </c>
      <c r="M133">
        <v>22.18</v>
      </c>
      <c r="N133">
        <v>33.909999999999997</v>
      </c>
      <c r="O133">
        <v>83.522003173828125</v>
      </c>
      <c r="P133">
        <v>1.6937734459670661</v>
      </c>
      <c r="Q133">
        <v>1.6299208308555257</v>
      </c>
      <c r="R133">
        <v>1.1454938629843632</v>
      </c>
      <c r="S133">
        <v>1.0975481579503701</v>
      </c>
      <c r="T133">
        <v>1</v>
      </c>
    </row>
    <row r="134" spans="1:20" x14ac:dyDescent="0.25">
      <c r="A134" s="11">
        <v>44928</v>
      </c>
      <c r="E134">
        <v>161.19999694824219</v>
      </c>
      <c r="F134">
        <v>209.03</v>
      </c>
      <c r="N134">
        <v>33.92</v>
      </c>
      <c r="O134">
        <v>84.307998657226563</v>
      </c>
    </row>
    <row r="135" spans="1:20" x14ac:dyDescent="0.25">
      <c r="A135" s="11">
        <v>44929</v>
      </c>
      <c r="B135">
        <v>65.260002136230469</v>
      </c>
      <c r="C135">
        <v>394.45001220703131</v>
      </c>
      <c r="D135">
        <v>22.350000381469727</v>
      </c>
      <c r="E135">
        <v>160.19999694824219</v>
      </c>
      <c r="F135">
        <v>209.92</v>
      </c>
      <c r="G135">
        <v>77.41</v>
      </c>
      <c r="H135">
        <v>11.119999885559082</v>
      </c>
      <c r="I135">
        <v>11.340000152587891</v>
      </c>
      <c r="J135">
        <v>5.3727002143859863</v>
      </c>
      <c r="K135">
        <v>5.3280000686645508</v>
      </c>
      <c r="L135">
        <v>109.54000091552734</v>
      </c>
      <c r="M135">
        <v>22.27</v>
      </c>
      <c r="N135">
        <v>33.99</v>
      </c>
      <c r="O135">
        <v>84.954002380371094</v>
      </c>
    </row>
    <row r="136" spans="1:20" x14ac:dyDescent="0.25">
      <c r="A136" s="11">
        <v>44930</v>
      </c>
      <c r="B136">
        <v>66.269996643066406</v>
      </c>
      <c r="C136">
        <v>399.70001220703131</v>
      </c>
      <c r="D136">
        <v>22.309999465942383</v>
      </c>
      <c r="E136">
        <v>161.96000671386719</v>
      </c>
      <c r="F136">
        <v>211.34</v>
      </c>
      <c r="G136">
        <v>78.81</v>
      </c>
      <c r="H136">
        <v>11.130000114440918</v>
      </c>
      <c r="I136">
        <v>11.369999885559082</v>
      </c>
      <c r="J136">
        <v>5.392399787902832</v>
      </c>
      <c r="K136">
        <v>5.3544998168945313</v>
      </c>
      <c r="L136">
        <v>109.59999847412109</v>
      </c>
      <c r="M136">
        <v>22.37</v>
      </c>
      <c r="N136">
        <v>34.06</v>
      </c>
      <c r="O136">
        <v>85.080001831054688</v>
      </c>
    </row>
    <row r="137" spans="1:20" x14ac:dyDescent="0.25">
      <c r="A137" s="11">
        <v>44931</v>
      </c>
      <c r="B137">
        <v>65.239997863769531</v>
      </c>
      <c r="C137">
        <v>394.10000610351563</v>
      </c>
      <c r="D137">
        <v>22.149999618530277</v>
      </c>
      <c r="E137">
        <v>161.32000732421875</v>
      </c>
      <c r="F137">
        <v>209.73</v>
      </c>
      <c r="G137">
        <v>77.77</v>
      </c>
      <c r="H137">
        <v>11.119999885559082</v>
      </c>
      <c r="I137">
        <v>11.359999656677246</v>
      </c>
      <c r="J137">
        <v>5.3590002059936523</v>
      </c>
      <c r="K137">
        <v>5.3480000495910645</v>
      </c>
      <c r="L137">
        <v>109.4250030517578</v>
      </c>
      <c r="M137">
        <v>22.38</v>
      </c>
      <c r="N137">
        <v>34.130000000000003</v>
      </c>
      <c r="O137">
        <v>85.697998046875</v>
      </c>
    </row>
    <row r="138" spans="1:20" x14ac:dyDescent="0.25">
      <c r="A138" s="11">
        <v>44932</v>
      </c>
      <c r="B138">
        <v>66.919998168945313</v>
      </c>
      <c r="C138">
        <v>400.35000610351563</v>
      </c>
      <c r="D138">
        <v>23.040000915527344</v>
      </c>
      <c r="E138">
        <v>162.77999877929688</v>
      </c>
      <c r="F138">
        <v>207.85</v>
      </c>
      <c r="G138">
        <v>79.540000000000006</v>
      </c>
      <c r="H138">
        <v>11.159999847412109</v>
      </c>
      <c r="I138">
        <v>11.409999847412109</v>
      </c>
      <c r="J138">
        <v>5.3696999549865723</v>
      </c>
      <c r="K138">
        <v>5.4250001907348633</v>
      </c>
      <c r="L138">
        <v>109.58000183105467</v>
      </c>
      <c r="M138">
        <v>22.54</v>
      </c>
      <c r="N138">
        <v>34.22</v>
      </c>
      <c r="O138">
        <v>86.040000915527344</v>
      </c>
    </row>
    <row r="139" spans="1:20" x14ac:dyDescent="0.25">
      <c r="A139" s="11">
        <v>44935</v>
      </c>
      <c r="B139">
        <v>67.510002136230469</v>
      </c>
      <c r="C139">
        <v>408.20001220703131</v>
      </c>
      <c r="D139">
        <v>24.209999084472656</v>
      </c>
      <c r="E139">
        <v>163.74000549316406</v>
      </c>
      <c r="F139">
        <v>213.14</v>
      </c>
      <c r="G139">
        <v>80.099999999999994</v>
      </c>
      <c r="H139">
        <v>11.170000076293944</v>
      </c>
      <c r="I139">
        <v>11.439999580383301</v>
      </c>
      <c r="J139">
        <v>5.429999828338623</v>
      </c>
      <c r="K139">
        <v>5.4759998321533203</v>
      </c>
      <c r="L139">
        <v>109.91999816894533</v>
      </c>
      <c r="M139">
        <v>22.65</v>
      </c>
      <c r="N139">
        <v>34.42</v>
      </c>
      <c r="O139">
        <v>85.472000122070313</v>
      </c>
    </row>
    <row r="140" spans="1:20" x14ac:dyDescent="0.25">
      <c r="A140" s="11">
        <v>44936</v>
      </c>
      <c r="B140">
        <v>68.110000610351563</v>
      </c>
      <c r="C140">
        <v>403</v>
      </c>
      <c r="D140">
        <v>24.549999237060547</v>
      </c>
      <c r="E140">
        <v>162.05999755859375</v>
      </c>
      <c r="F140">
        <v>213.93</v>
      </c>
      <c r="G140">
        <v>80.61</v>
      </c>
      <c r="H140">
        <v>11.170000076293944</v>
      </c>
      <c r="I140">
        <v>11.439999580383301</v>
      </c>
      <c r="J140">
        <v>5.4099998474121094</v>
      </c>
      <c r="K140">
        <v>5.4310002326965332</v>
      </c>
      <c r="L140">
        <v>109.90000152587891</v>
      </c>
      <c r="M140">
        <v>22.65</v>
      </c>
      <c r="N140">
        <v>34.51</v>
      </c>
      <c r="O140">
        <v>85.092002868652344</v>
      </c>
    </row>
    <row r="141" spans="1:20" x14ac:dyDescent="0.25">
      <c r="A141" s="11">
        <v>44937</v>
      </c>
      <c r="B141">
        <v>69.160003662109375</v>
      </c>
      <c r="C141">
        <v>407.54998779296881</v>
      </c>
      <c r="D141">
        <v>24.639999389648441</v>
      </c>
      <c r="E141">
        <v>163.3800048828125</v>
      </c>
      <c r="F141">
        <v>216.14</v>
      </c>
      <c r="G141">
        <v>81.510000000000005</v>
      </c>
      <c r="H141">
        <v>11.180000305175779</v>
      </c>
      <c r="I141">
        <v>11.460000038146973</v>
      </c>
      <c r="J141">
        <v>5.3990001678466797</v>
      </c>
      <c r="K141">
        <v>5.4840002059936523</v>
      </c>
      <c r="L141">
        <v>109.90000152587891</v>
      </c>
      <c r="M141">
        <v>22.71</v>
      </c>
      <c r="N141">
        <v>34.53</v>
      </c>
      <c r="O141">
        <v>85.377998352050781</v>
      </c>
    </row>
    <row r="142" spans="1:20" x14ac:dyDescent="0.25">
      <c r="A142" s="11">
        <v>44938</v>
      </c>
      <c r="B142">
        <v>69.69000244140625</v>
      </c>
      <c r="C142">
        <v>410.29998779296881</v>
      </c>
      <c r="D142">
        <v>24.799999237060547</v>
      </c>
      <c r="E142">
        <v>164.17999267578125</v>
      </c>
      <c r="F142">
        <v>216.06</v>
      </c>
      <c r="G142">
        <v>81.97</v>
      </c>
      <c r="H142">
        <v>11.210000038146973</v>
      </c>
      <c r="I142">
        <v>11.5</v>
      </c>
      <c r="J142">
        <v>5.3948001861572266</v>
      </c>
      <c r="K142">
        <v>5.5120000839233398</v>
      </c>
      <c r="L142">
        <v>110</v>
      </c>
      <c r="M142">
        <v>22.81</v>
      </c>
      <c r="N142">
        <v>34.630000000000003</v>
      </c>
      <c r="O142">
        <v>85.358001708984375</v>
      </c>
    </row>
    <row r="143" spans="1:20" x14ac:dyDescent="0.25">
      <c r="A143" s="11">
        <v>44939</v>
      </c>
      <c r="B143">
        <v>70.129997253417969</v>
      </c>
      <c r="C143">
        <v>410.79998779296881</v>
      </c>
      <c r="D143">
        <v>24.909999847412109</v>
      </c>
      <c r="E143">
        <v>164.75999450683594</v>
      </c>
      <c r="F143">
        <v>217.26</v>
      </c>
      <c r="G143">
        <v>82.42</v>
      </c>
      <c r="H143">
        <v>11.199999809265137</v>
      </c>
      <c r="I143">
        <v>11.489999771118164</v>
      </c>
      <c r="J143">
        <v>5.4218001365661621</v>
      </c>
      <c r="K143">
        <v>5.5524997711181641</v>
      </c>
      <c r="L143">
        <v>110.18000030517578</v>
      </c>
      <c r="M143">
        <v>22.85</v>
      </c>
      <c r="N143">
        <v>34.700000000000003</v>
      </c>
      <c r="O143">
        <v>85.589996337890625</v>
      </c>
    </row>
    <row r="144" spans="1:20" x14ac:dyDescent="0.25">
      <c r="A144" s="11">
        <v>44942</v>
      </c>
      <c r="C144">
        <v>410.79998779296881</v>
      </c>
      <c r="E144">
        <v>165.32000732421875</v>
      </c>
      <c r="F144">
        <v>218.32</v>
      </c>
      <c r="G144">
        <v>82.52</v>
      </c>
      <c r="K144">
        <v>5.5254998207092285</v>
      </c>
      <c r="L144">
        <v>110.18000030517578</v>
      </c>
      <c r="N144">
        <v>34.79</v>
      </c>
      <c r="O144">
        <v>85.641998291015625</v>
      </c>
    </row>
    <row r="145" spans="1:20" x14ac:dyDescent="0.25">
      <c r="A145" s="11">
        <v>44943</v>
      </c>
      <c r="B145">
        <v>69.819999694824219</v>
      </c>
      <c r="C145">
        <v>410.79998779296881</v>
      </c>
      <c r="D145">
        <v>24.909999847412109</v>
      </c>
      <c r="E145">
        <v>165.80000305175781</v>
      </c>
      <c r="F145">
        <v>219.02</v>
      </c>
      <c r="G145">
        <v>82.52</v>
      </c>
      <c r="H145">
        <v>11.199999809265137</v>
      </c>
      <c r="I145">
        <v>11.510000228881836</v>
      </c>
      <c r="J145">
        <v>5.3969001770019531</v>
      </c>
      <c r="K145">
        <v>5.5269999504089364</v>
      </c>
      <c r="L145">
        <v>110.18000030517578</v>
      </c>
      <c r="M145">
        <v>22.86</v>
      </c>
      <c r="N145">
        <v>34.75</v>
      </c>
      <c r="O145">
        <v>85.531997680664063</v>
      </c>
    </row>
    <row r="146" spans="1:20" x14ac:dyDescent="0.25">
      <c r="A146" s="11">
        <v>44944</v>
      </c>
      <c r="B146">
        <v>68.769996643066406</v>
      </c>
      <c r="C146">
        <v>410.79998779296881</v>
      </c>
      <c r="D146">
        <v>24.729999542236328</v>
      </c>
      <c r="E146">
        <v>164.86000061035156</v>
      </c>
      <c r="F146">
        <v>219.31</v>
      </c>
      <c r="G146">
        <v>81.87</v>
      </c>
      <c r="H146">
        <v>11.229999542236328</v>
      </c>
      <c r="I146">
        <v>11.550000190734863</v>
      </c>
      <c r="J146">
        <v>5.4699997901916504</v>
      </c>
      <c r="K146">
        <v>5.5770001411437988</v>
      </c>
      <c r="L146">
        <v>110.18000030517578</v>
      </c>
      <c r="M146">
        <v>22.92</v>
      </c>
      <c r="N146">
        <v>34.83</v>
      </c>
      <c r="O146">
        <v>85.624000549316406</v>
      </c>
    </row>
    <row r="147" spans="1:20" x14ac:dyDescent="0.25">
      <c r="A147" s="11">
        <v>44945</v>
      </c>
      <c r="B147">
        <v>68.120002746582031</v>
      </c>
      <c r="C147">
        <v>410.79998779296881</v>
      </c>
      <c r="D147">
        <v>24.590000152587891</v>
      </c>
      <c r="E147">
        <v>162.74000549316406</v>
      </c>
      <c r="F147">
        <v>215.16</v>
      </c>
      <c r="G147">
        <v>81.47</v>
      </c>
      <c r="H147">
        <v>11.220000267028809</v>
      </c>
      <c r="I147">
        <v>11.539999961853027</v>
      </c>
      <c r="J147">
        <v>5.5</v>
      </c>
      <c r="K147">
        <v>5.5689997673034668</v>
      </c>
      <c r="L147">
        <v>110.18000030517578</v>
      </c>
      <c r="M147">
        <v>22.84</v>
      </c>
      <c r="N147">
        <v>34.83</v>
      </c>
      <c r="O147">
        <v>85.124000549316406</v>
      </c>
    </row>
    <row r="148" spans="1:20" x14ac:dyDescent="0.25">
      <c r="A148" s="11">
        <v>44946</v>
      </c>
      <c r="B148">
        <v>69.910003662109375</v>
      </c>
      <c r="C148">
        <v>410.79998779296881</v>
      </c>
      <c r="D148">
        <v>24.879999160766602</v>
      </c>
      <c r="E148">
        <v>163.86000061035156</v>
      </c>
      <c r="F148">
        <v>215.49</v>
      </c>
      <c r="G148">
        <v>82.67</v>
      </c>
      <c r="H148">
        <v>11.220000267028809</v>
      </c>
      <c r="I148">
        <v>11.529999732971191</v>
      </c>
      <c r="J148">
        <v>5.429999828338623</v>
      </c>
      <c r="K148">
        <v>5.5320000648498535</v>
      </c>
      <c r="L148">
        <v>110.18000030517578</v>
      </c>
      <c r="M148">
        <v>22.81</v>
      </c>
      <c r="N148">
        <v>34.770000000000003</v>
      </c>
      <c r="O148">
        <v>84.734001159667969</v>
      </c>
    </row>
    <row r="149" spans="1:20" x14ac:dyDescent="0.25">
      <c r="A149" s="11">
        <v>44949</v>
      </c>
      <c r="B149">
        <v>71.339996337890625</v>
      </c>
      <c r="C149">
        <v>410.79998779296881</v>
      </c>
      <c r="D149">
        <v>24.920000076293945</v>
      </c>
      <c r="E149">
        <v>166.19999694824219</v>
      </c>
      <c r="F149">
        <v>218.43</v>
      </c>
      <c r="G149">
        <v>83.4</v>
      </c>
      <c r="H149">
        <v>11.210000038146973</v>
      </c>
      <c r="I149">
        <v>11.529999732971191</v>
      </c>
      <c r="J149">
        <v>5.4210000038146973</v>
      </c>
      <c r="K149">
        <v>5.5359997749328613</v>
      </c>
      <c r="L149">
        <v>110.18000030517578</v>
      </c>
      <c r="M149">
        <v>22.83</v>
      </c>
      <c r="N149">
        <v>34.799999999999997</v>
      </c>
      <c r="O149">
        <v>84.949996948242188</v>
      </c>
    </row>
    <row r="150" spans="1:20" x14ac:dyDescent="0.25">
      <c r="A150" s="11">
        <v>44950</v>
      </c>
      <c r="B150">
        <v>70.949996948242188</v>
      </c>
      <c r="C150">
        <v>410.79998779296881</v>
      </c>
      <c r="D150">
        <v>24.889999389648441</v>
      </c>
      <c r="E150">
        <v>165.96000671386719</v>
      </c>
      <c r="F150">
        <v>216.87</v>
      </c>
      <c r="G150">
        <v>83.03</v>
      </c>
      <c r="H150">
        <v>11.220000267028809</v>
      </c>
      <c r="I150">
        <v>11.539999961853027</v>
      </c>
      <c r="J150">
        <v>5.4412999153137207</v>
      </c>
      <c r="K150">
        <v>5.5479998588562012</v>
      </c>
      <c r="L150">
        <v>110.18000030517578</v>
      </c>
      <c r="M150">
        <v>22.84</v>
      </c>
      <c r="N150">
        <v>34.83</v>
      </c>
      <c r="O150">
        <v>84.58599853515625</v>
      </c>
    </row>
    <row r="151" spans="1:20" x14ac:dyDescent="0.25">
      <c r="A151" s="11">
        <v>44951</v>
      </c>
      <c r="B151">
        <v>71.25</v>
      </c>
      <c r="C151">
        <v>410.79998779296881</v>
      </c>
      <c r="D151">
        <v>24.860000610351559</v>
      </c>
      <c r="E151">
        <v>164.74000549316406</v>
      </c>
      <c r="F151">
        <v>214.18</v>
      </c>
      <c r="G151">
        <v>82.98</v>
      </c>
      <c r="H151">
        <v>11.229999542236328</v>
      </c>
      <c r="I151">
        <v>11.539999961853027</v>
      </c>
      <c r="J151">
        <v>5.427800178527832</v>
      </c>
      <c r="K151">
        <v>5.5339999198913574</v>
      </c>
      <c r="L151">
        <v>110.18000030517578</v>
      </c>
      <c r="M151">
        <v>22.83</v>
      </c>
      <c r="N151">
        <v>34.840000000000003</v>
      </c>
      <c r="O151">
        <v>84.431999206542969</v>
      </c>
    </row>
    <row r="152" spans="1:20" x14ac:dyDescent="0.25">
      <c r="A152" s="11">
        <v>44952</v>
      </c>
      <c r="B152">
        <v>72.160003662109375</v>
      </c>
      <c r="C152">
        <v>410.79998779296881</v>
      </c>
      <c r="D152">
        <v>24.959999084472656</v>
      </c>
      <c r="E152">
        <v>166.67999267578125</v>
      </c>
      <c r="F152">
        <v>216.28</v>
      </c>
      <c r="G152">
        <v>83.56</v>
      </c>
      <c r="H152">
        <v>11.220000267028809</v>
      </c>
      <c r="I152">
        <v>11.550000190734863</v>
      </c>
      <c r="J152">
        <v>5.427800178527832</v>
      </c>
      <c r="K152">
        <v>5.5430002212524414</v>
      </c>
      <c r="L152">
        <v>110.18000030517578</v>
      </c>
      <c r="M152">
        <v>22.87</v>
      </c>
      <c r="N152">
        <v>34.880000000000003</v>
      </c>
      <c r="O152">
        <v>84.800003051757813</v>
      </c>
    </row>
    <row r="153" spans="1:20" x14ac:dyDescent="0.25">
      <c r="A153" s="11">
        <v>44953</v>
      </c>
      <c r="B153">
        <v>72.370002746582031</v>
      </c>
      <c r="C153">
        <v>410.79998779296881</v>
      </c>
      <c r="D153">
        <v>25.159999847412109</v>
      </c>
      <c r="E153">
        <v>167.75999450683594</v>
      </c>
      <c r="F153">
        <v>216.76</v>
      </c>
      <c r="G153">
        <v>83.75</v>
      </c>
      <c r="H153">
        <v>11.229999542236328</v>
      </c>
      <c r="I153">
        <v>11.550000190734863</v>
      </c>
      <c r="J153">
        <v>5.4475998878479004</v>
      </c>
      <c r="K153">
        <v>5.5440001487731934</v>
      </c>
      <c r="L153">
        <v>110.18000030517578</v>
      </c>
      <c r="M153">
        <v>22.89</v>
      </c>
      <c r="N153">
        <v>34.93</v>
      </c>
      <c r="O153">
        <v>84.774002075195313</v>
      </c>
    </row>
    <row r="154" spans="1:20" x14ac:dyDescent="0.25">
      <c r="A154" s="11">
        <v>44956</v>
      </c>
      <c r="B154">
        <v>71.169998168945313</v>
      </c>
      <c r="C154">
        <v>410.79998779296881</v>
      </c>
      <c r="D154">
        <v>25.129999160766602</v>
      </c>
      <c r="E154">
        <v>166.83999633789063</v>
      </c>
      <c r="F154">
        <v>217.31</v>
      </c>
      <c r="G154">
        <v>82.86</v>
      </c>
      <c r="H154">
        <v>11.220000267028809</v>
      </c>
      <c r="I154">
        <v>11.539999961853027</v>
      </c>
      <c r="J154">
        <v>5.4600000381469727</v>
      </c>
      <c r="K154">
        <v>5.5254998207092285</v>
      </c>
      <c r="L154">
        <v>110.18000030517578</v>
      </c>
      <c r="M154">
        <v>22.84</v>
      </c>
      <c r="N154">
        <v>34.909999999999997</v>
      </c>
      <c r="O154">
        <v>84.356002807617188</v>
      </c>
    </row>
    <row r="155" spans="1:20" x14ac:dyDescent="0.25">
      <c r="A155" s="11">
        <v>44957</v>
      </c>
      <c r="B155">
        <v>72.599998474121094</v>
      </c>
      <c r="C155">
        <v>410.79998779296881</v>
      </c>
      <c r="D155">
        <v>25.489999771118164</v>
      </c>
      <c r="E155">
        <v>166.6199951171875</v>
      </c>
      <c r="F155">
        <v>216.4</v>
      </c>
      <c r="G155">
        <v>83.7</v>
      </c>
      <c r="H155">
        <v>11.239999771118164</v>
      </c>
      <c r="I155">
        <v>11.550000190734863</v>
      </c>
      <c r="J155">
        <v>5.4036998748779297</v>
      </c>
      <c r="K155">
        <v>5.5390000343322754</v>
      </c>
      <c r="L155">
        <v>110.18000030517578</v>
      </c>
      <c r="M155">
        <v>22.86</v>
      </c>
      <c r="N155">
        <v>34.92</v>
      </c>
      <c r="O155">
        <v>84.568000793457031</v>
      </c>
      <c r="Q155">
        <v>1.6385594112590602</v>
      </c>
      <c r="R155">
        <v>1.1661127525180817</v>
      </c>
      <c r="S155">
        <v>1.1291575448993407</v>
      </c>
      <c r="T155">
        <v>1</v>
      </c>
    </row>
    <row r="156" spans="1:20" x14ac:dyDescent="0.25">
      <c r="A156" s="11">
        <v>44958</v>
      </c>
      <c r="B156">
        <v>74.199996948242188</v>
      </c>
      <c r="C156">
        <v>421</v>
      </c>
      <c r="D156">
        <v>25.739999771118164</v>
      </c>
      <c r="E156">
        <v>166.53999328613281</v>
      </c>
      <c r="F156">
        <v>219.2</v>
      </c>
      <c r="G156">
        <v>84.41</v>
      </c>
      <c r="H156">
        <v>11.260000228881836</v>
      </c>
      <c r="I156">
        <v>11.590000152587891</v>
      </c>
      <c r="J156">
        <v>5.4112000465393066</v>
      </c>
      <c r="K156">
        <v>5.560999870300293</v>
      </c>
      <c r="L156">
        <v>110.22000122070313</v>
      </c>
      <c r="M156">
        <v>22.92</v>
      </c>
      <c r="N156">
        <v>34.94</v>
      </c>
      <c r="O156">
        <v>84.487998962402344</v>
      </c>
    </row>
    <row r="157" spans="1:20" x14ac:dyDescent="0.25">
      <c r="A157" s="11">
        <v>44959</v>
      </c>
      <c r="B157">
        <v>76.129997253417969</v>
      </c>
      <c r="C157">
        <v>432.85000610351563</v>
      </c>
      <c r="D157">
        <v>26.149999618530277</v>
      </c>
      <c r="E157">
        <v>170</v>
      </c>
      <c r="F157">
        <v>221.86</v>
      </c>
      <c r="G157">
        <v>84.99</v>
      </c>
      <c r="H157">
        <v>11.270000457763672</v>
      </c>
      <c r="I157">
        <v>11.619999885559082</v>
      </c>
      <c r="J157">
        <v>5.4356999397277832</v>
      </c>
      <c r="K157">
        <v>5.6459999084472656</v>
      </c>
      <c r="L157">
        <v>110.5</v>
      </c>
      <c r="M157">
        <v>23.12</v>
      </c>
      <c r="N157">
        <v>35.18</v>
      </c>
      <c r="O157">
        <v>85.842002868652344</v>
      </c>
    </row>
    <row r="158" spans="1:20" x14ac:dyDescent="0.25">
      <c r="A158" s="11">
        <v>44960</v>
      </c>
      <c r="B158">
        <v>74.519996643066406</v>
      </c>
      <c r="C158">
        <v>432.75</v>
      </c>
      <c r="D158">
        <v>26.149999618530277</v>
      </c>
      <c r="E158">
        <v>170.91999816894531</v>
      </c>
      <c r="F158">
        <v>220.31</v>
      </c>
      <c r="G158">
        <v>84.03</v>
      </c>
      <c r="H158">
        <v>11.239999771118164</v>
      </c>
      <c r="I158">
        <v>11.579999923706056</v>
      </c>
      <c r="J158">
        <v>5.4499998092651367</v>
      </c>
      <c r="K158">
        <v>5.5580000877380371</v>
      </c>
      <c r="L158">
        <v>110.18000030517578</v>
      </c>
      <c r="M158">
        <v>23.06</v>
      </c>
      <c r="N158">
        <v>35.229999999999997</v>
      </c>
      <c r="O158">
        <v>85.889999389648438</v>
      </c>
    </row>
    <row r="159" spans="1:20" x14ac:dyDescent="0.25">
      <c r="A159" s="11">
        <v>44963</v>
      </c>
      <c r="B159">
        <v>73.860000610351563</v>
      </c>
      <c r="C159">
        <v>426.89999389648438</v>
      </c>
      <c r="E159">
        <v>169.74000549316406</v>
      </c>
      <c r="F159">
        <v>219.2</v>
      </c>
      <c r="G159">
        <v>82.95</v>
      </c>
      <c r="J159">
        <v>5.4361000061035156</v>
      </c>
      <c r="K159">
        <v>5.5289998054504403</v>
      </c>
      <c r="L159">
        <v>109.86000061035156</v>
      </c>
      <c r="M159">
        <v>22.96</v>
      </c>
      <c r="N159">
        <v>35.1</v>
      </c>
      <c r="O159">
        <v>85.870002746582031</v>
      </c>
    </row>
    <row r="160" spans="1:20" x14ac:dyDescent="0.25">
      <c r="A160" s="11">
        <v>44964</v>
      </c>
      <c r="B160">
        <v>75.029998779296875</v>
      </c>
      <c r="C160">
        <v>425.39999389648438</v>
      </c>
      <c r="D160">
        <v>26.040000915527344</v>
      </c>
      <c r="E160">
        <v>170.13999938964844</v>
      </c>
      <c r="F160">
        <v>217.08</v>
      </c>
      <c r="G160">
        <v>83.9</v>
      </c>
      <c r="H160">
        <v>11.210000038146973</v>
      </c>
      <c r="I160">
        <v>11.539999961853027</v>
      </c>
      <c r="J160">
        <v>5.4197998046875</v>
      </c>
      <c r="K160">
        <v>5.5110001564025879</v>
      </c>
      <c r="L160">
        <v>109.81999969482422</v>
      </c>
      <c r="M160">
        <v>22.95</v>
      </c>
      <c r="N160">
        <v>35.01</v>
      </c>
      <c r="O160">
        <v>86.152000427246094</v>
      </c>
    </row>
    <row r="161" spans="1:20" x14ac:dyDescent="0.25">
      <c r="A161" s="11">
        <v>44965</v>
      </c>
      <c r="B161">
        <v>74.209999084472656</v>
      </c>
      <c r="C161">
        <v>426.70001220703131</v>
      </c>
      <c r="D161">
        <v>25.959999084472656</v>
      </c>
      <c r="E161">
        <v>169.91999816894531</v>
      </c>
      <c r="F161">
        <v>220.14</v>
      </c>
      <c r="G161">
        <v>83.24</v>
      </c>
      <c r="H161">
        <v>11.220000267028809</v>
      </c>
      <c r="I161">
        <v>11.539999961853027</v>
      </c>
      <c r="J161">
        <v>5.3937997817993164</v>
      </c>
      <c r="K161">
        <v>5.4860000610351563</v>
      </c>
      <c r="L161">
        <v>109.81999969482422</v>
      </c>
      <c r="M161">
        <v>22.94</v>
      </c>
      <c r="N161">
        <v>35.04</v>
      </c>
      <c r="O161">
        <v>85.6719970703125</v>
      </c>
    </row>
    <row r="162" spans="1:20" x14ac:dyDescent="0.25">
      <c r="A162" s="11">
        <v>44966</v>
      </c>
      <c r="B162">
        <v>73.050003051757813</v>
      </c>
      <c r="C162">
        <v>426.89999389648438</v>
      </c>
      <c r="D162">
        <v>25.649999618530277</v>
      </c>
      <c r="E162">
        <v>170.30000305175781</v>
      </c>
      <c r="F162">
        <v>219.27</v>
      </c>
      <c r="G162">
        <v>82.81</v>
      </c>
      <c r="H162">
        <v>11.210000038146973</v>
      </c>
      <c r="I162">
        <v>11.529999732971191</v>
      </c>
      <c r="J162">
        <v>5.4000000953674316</v>
      </c>
      <c r="K162">
        <v>5.5139999389648438</v>
      </c>
      <c r="L162">
        <v>109.88999938964844</v>
      </c>
      <c r="M162">
        <v>22.97</v>
      </c>
      <c r="N162">
        <v>35.04</v>
      </c>
      <c r="O162">
        <v>85.667999267578125</v>
      </c>
    </row>
    <row r="163" spans="1:20" x14ac:dyDescent="0.25">
      <c r="A163" s="11">
        <v>44967</v>
      </c>
      <c r="B163">
        <v>72.599998474121094</v>
      </c>
      <c r="C163">
        <v>422.79998779296881</v>
      </c>
      <c r="D163">
        <v>25.649999618530277</v>
      </c>
      <c r="E163">
        <v>169.5</v>
      </c>
      <c r="F163">
        <v>215.41</v>
      </c>
      <c r="G163">
        <v>82.24</v>
      </c>
      <c r="H163">
        <v>11.199999809265137</v>
      </c>
      <c r="I163">
        <v>11.510000228881836</v>
      </c>
      <c r="J163">
        <v>5.3993000984191895</v>
      </c>
      <c r="K163">
        <v>5.439000129699707</v>
      </c>
      <c r="L163">
        <v>109.76000213623048</v>
      </c>
      <c r="M163">
        <v>22.8</v>
      </c>
      <c r="N163">
        <v>34.880000000000003</v>
      </c>
      <c r="O163">
        <v>85.11199951171875</v>
      </c>
    </row>
    <row r="164" spans="1:20" x14ac:dyDescent="0.25">
      <c r="A164" s="11">
        <v>44970</v>
      </c>
      <c r="B164">
        <v>73.599998474121094</v>
      </c>
      <c r="C164">
        <v>427.04998779296881</v>
      </c>
      <c r="D164">
        <v>25.899999618530277</v>
      </c>
      <c r="E164">
        <v>170.39999389648438</v>
      </c>
      <c r="F164">
        <v>218.28</v>
      </c>
      <c r="G164">
        <v>83.46</v>
      </c>
      <c r="H164">
        <v>11.199999809265137</v>
      </c>
      <c r="I164">
        <v>11.510000228881836</v>
      </c>
      <c r="J164">
        <v>5.3761000633239746</v>
      </c>
      <c r="K164">
        <v>5.4340000152587891</v>
      </c>
      <c r="L164">
        <v>109.72000122070313</v>
      </c>
      <c r="M164">
        <v>22.79</v>
      </c>
      <c r="N164">
        <v>34.81</v>
      </c>
      <c r="O164">
        <v>85.013999938964844</v>
      </c>
    </row>
    <row r="165" spans="1:20" x14ac:dyDescent="0.25">
      <c r="A165" s="11">
        <v>44971</v>
      </c>
      <c r="B165">
        <v>73.800003051757813</v>
      </c>
      <c r="C165">
        <v>424.75</v>
      </c>
      <c r="D165">
        <v>25.829999923706051</v>
      </c>
      <c r="E165">
        <v>169.55999755859375</v>
      </c>
      <c r="F165">
        <v>219.32</v>
      </c>
      <c r="G165">
        <v>83.29</v>
      </c>
      <c r="H165">
        <v>11.189999580383301</v>
      </c>
      <c r="I165">
        <v>11.489999771118164</v>
      </c>
      <c r="J165">
        <v>5.3682999610900879</v>
      </c>
      <c r="K165">
        <v>5.4000000953674316</v>
      </c>
      <c r="L165">
        <v>109.77999877929688</v>
      </c>
      <c r="M165">
        <v>22.77</v>
      </c>
      <c r="N165">
        <v>34.86</v>
      </c>
      <c r="O165">
        <v>84.606002807617188</v>
      </c>
    </row>
    <row r="166" spans="1:20" x14ac:dyDescent="0.25">
      <c r="A166" s="11">
        <v>44972</v>
      </c>
      <c r="B166">
        <v>74.519996643066406</v>
      </c>
      <c r="C166">
        <v>427.29998779296881</v>
      </c>
      <c r="D166">
        <v>26.020000457763672</v>
      </c>
      <c r="E166">
        <v>170.77999877929688</v>
      </c>
      <c r="F166">
        <v>217.27</v>
      </c>
      <c r="G166">
        <v>83.36</v>
      </c>
      <c r="H166">
        <v>11.189999580383301</v>
      </c>
      <c r="I166">
        <v>11.489999771118164</v>
      </c>
      <c r="J166">
        <v>5.5500001907348633</v>
      </c>
      <c r="K166">
        <v>5.4060001373291016</v>
      </c>
      <c r="L166">
        <v>109.51999664306641</v>
      </c>
      <c r="M166">
        <v>22.76</v>
      </c>
      <c r="N166">
        <v>34.79</v>
      </c>
      <c r="O166">
        <v>85.019996643066406</v>
      </c>
    </row>
    <row r="167" spans="1:20" x14ac:dyDescent="0.25">
      <c r="A167" s="11">
        <v>44973</v>
      </c>
      <c r="B167">
        <v>73.05999755859375</v>
      </c>
      <c r="C167">
        <v>427.14999389648438</v>
      </c>
      <c r="D167">
        <v>25.860000610351559</v>
      </c>
      <c r="E167">
        <v>170.77999877929688</v>
      </c>
      <c r="F167">
        <v>215.61</v>
      </c>
      <c r="G167">
        <v>82.08</v>
      </c>
      <c r="H167">
        <v>11.189999580383301</v>
      </c>
      <c r="I167">
        <v>11.479999542236328</v>
      </c>
      <c r="J167">
        <v>5.4099998474121094</v>
      </c>
      <c r="K167">
        <v>5.3909997940063477</v>
      </c>
      <c r="L167">
        <v>109.54000091552734</v>
      </c>
      <c r="M167">
        <v>22.71</v>
      </c>
      <c r="N167">
        <v>34.78</v>
      </c>
      <c r="O167">
        <v>84.7760009765625</v>
      </c>
    </row>
    <row r="168" spans="1:20" x14ac:dyDescent="0.25">
      <c r="A168" s="11">
        <v>44974</v>
      </c>
      <c r="B168">
        <v>72.599998474121094</v>
      </c>
      <c r="C168">
        <v>420.14999389648438</v>
      </c>
      <c r="D168">
        <v>25.850000381469727</v>
      </c>
      <c r="E168">
        <v>168.91999816894531</v>
      </c>
      <c r="F168">
        <v>214.85</v>
      </c>
      <c r="G168">
        <v>81.92</v>
      </c>
      <c r="H168">
        <v>11.189999580383301</v>
      </c>
      <c r="I168">
        <v>11.479999542236328</v>
      </c>
      <c r="J168">
        <v>5.373499870300293</v>
      </c>
      <c r="K168">
        <v>5.3629999160766602</v>
      </c>
      <c r="L168">
        <v>109.48000335693359</v>
      </c>
      <c r="M168">
        <v>22.67</v>
      </c>
      <c r="N168">
        <v>34.64</v>
      </c>
      <c r="O168">
        <v>84.536003112792969</v>
      </c>
    </row>
    <row r="169" spans="1:20" x14ac:dyDescent="0.25">
      <c r="A169" s="11">
        <v>44977</v>
      </c>
      <c r="C169">
        <v>421.5</v>
      </c>
      <c r="E169">
        <v>169.19999694824219</v>
      </c>
      <c r="F169">
        <v>215.82</v>
      </c>
      <c r="G169">
        <v>81.81</v>
      </c>
      <c r="K169">
        <v>5.3784999847412109</v>
      </c>
      <c r="L169">
        <v>109.54000091552734</v>
      </c>
      <c r="N169">
        <v>34.67</v>
      </c>
      <c r="O169">
        <v>84.758003234863281</v>
      </c>
    </row>
    <row r="170" spans="1:20" x14ac:dyDescent="0.25">
      <c r="A170" s="11">
        <v>44978</v>
      </c>
      <c r="B170">
        <v>70.910003662109375</v>
      </c>
      <c r="C170">
        <v>416.39999389648438</v>
      </c>
      <c r="D170">
        <v>25.590000152587891</v>
      </c>
      <c r="E170">
        <v>167.55999755859375</v>
      </c>
      <c r="F170">
        <v>213.74</v>
      </c>
      <c r="G170">
        <v>80.69</v>
      </c>
      <c r="H170">
        <v>11.170000076293944</v>
      </c>
      <c r="I170">
        <v>11.449999809265137</v>
      </c>
      <c r="J170">
        <v>5.388700008392334</v>
      </c>
      <c r="K170">
        <v>5.3319997787475586</v>
      </c>
      <c r="L170">
        <v>109.48000335693359</v>
      </c>
      <c r="M170">
        <v>22.54</v>
      </c>
      <c r="N170">
        <v>34.619999999999997</v>
      </c>
      <c r="O170">
        <v>83.996002197265625</v>
      </c>
    </row>
    <row r="171" spans="1:20" x14ac:dyDescent="0.25">
      <c r="A171" s="11">
        <v>44979</v>
      </c>
      <c r="B171">
        <v>71</v>
      </c>
      <c r="C171">
        <v>414.85000610351563</v>
      </c>
      <c r="D171">
        <v>25.510000228881839</v>
      </c>
      <c r="E171">
        <v>167.17999267578125</v>
      </c>
      <c r="F171">
        <v>213.65</v>
      </c>
      <c r="G171">
        <v>80.739999999999995</v>
      </c>
      <c r="H171">
        <v>11.170000076293944</v>
      </c>
      <c r="I171">
        <v>11.449999809265137</v>
      </c>
      <c r="J171">
        <v>5.3639001846313477</v>
      </c>
      <c r="K171">
        <v>5.3340001106262207</v>
      </c>
      <c r="L171">
        <v>109.48000335693359</v>
      </c>
      <c r="M171">
        <v>22.57</v>
      </c>
      <c r="N171">
        <v>34.520000000000003</v>
      </c>
      <c r="O171">
        <v>84.662002563476563</v>
      </c>
    </row>
    <row r="172" spans="1:20" x14ac:dyDescent="0.25">
      <c r="A172" s="11">
        <v>44980</v>
      </c>
      <c r="B172">
        <v>71.44000244140625</v>
      </c>
      <c r="C172">
        <v>413.10000610351563</v>
      </c>
      <c r="D172">
        <v>25.719999313354489</v>
      </c>
      <c r="E172">
        <v>167.36000061035156</v>
      </c>
      <c r="F172">
        <v>214.21</v>
      </c>
      <c r="G172">
        <v>80.78</v>
      </c>
      <c r="H172">
        <v>11.180000305175779</v>
      </c>
      <c r="I172">
        <v>11.470000267028809</v>
      </c>
      <c r="J172">
        <v>5.4011998176574707</v>
      </c>
      <c r="K172">
        <v>5.3509998321533203</v>
      </c>
      <c r="L172">
        <v>109.5</v>
      </c>
      <c r="M172">
        <v>22.66</v>
      </c>
      <c r="N172">
        <v>34.590000000000003</v>
      </c>
      <c r="O172">
        <v>85.417999267578125</v>
      </c>
    </row>
    <row r="173" spans="1:20" x14ac:dyDescent="0.25">
      <c r="A173" s="11">
        <v>44981</v>
      </c>
      <c r="B173">
        <v>70.19000244140625</v>
      </c>
      <c r="C173">
        <v>410.79998779296881</v>
      </c>
      <c r="D173">
        <v>25.670000076293945</v>
      </c>
      <c r="E173">
        <v>166.41999816894531</v>
      </c>
      <c r="F173">
        <v>210.03</v>
      </c>
      <c r="G173">
        <v>79.41</v>
      </c>
      <c r="H173">
        <v>11.159999847412109</v>
      </c>
      <c r="I173">
        <v>11.439999580383301</v>
      </c>
      <c r="J173">
        <v>5.3909001350402832</v>
      </c>
      <c r="K173">
        <v>5.3340001106262207</v>
      </c>
      <c r="L173">
        <v>109.31999969482422</v>
      </c>
      <c r="M173">
        <v>22.64</v>
      </c>
      <c r="N173">
        <v>34.590000000000003</v>
      </c>
      <c r="O173">
        <v>85.484001159667969</v>
      </c>
    </row>
    <row r="174" spans="1:20" x14ac:dyDescent="0.25">
      <c r="A174" s="11">
        <v>44984</v>
      </c>
      <c r="B174">
        <v>70.419998168945313</v>
      </c>
      <c r="C174">
        <v>413.39999389648438</v>
      </c>
      <c r="D174">
        <v>25.840000152587891</v>
      </c>
      <c r="E174">
        <v>167.32000732421875</v>
      </c>
      <c r="F174">
        <v>212.43</v>
      </c>
      <c r="G174">
        <v>79.739999999999995</v>
      </c>
      <c r="H174">
        <v>11.170000076293944</v>
      </c>
      <c r="I174">
        <v>11.460000038146973</v>
      </c>
      <c r="J174">
        <v>5.3705000877380371</v>
      </c>
      <c r="K174">
        <v>5.3220000267028809</v>
      </c>
      <c r="L174">
        <v>109.33999633789063</v>
      </c>
      <c r="M174">
        <v>22.7</v>
      </c>
      <c r="N174">
        <v>34.619999999999997</v>
      </c>
      <c r="O174">
        <v>85.512001037597656</v>
      </c>
    </row>
    <row r="175" spans="1:20" x14ac:dyDescent="0.25">
      <c r="A175" s="11">
        <v>44985</v>
      </c>
      <c r="B175">
        <v>70.510002136230469</v>
      </c>
      <c r="C175">
        <v>413.10000610351563</v>
      </c>
      <c r="D175">
        <v>25.940000534057617</v>
      </c>
      <c r="E175">
        <v>166.72000122070313</v>
      </c>
      <c r="F175">
        <v>210.31</v>
      </c>
      <c r="G175">
        <v>79.239999999999995</v>
      </c>
      <c r="H175">
        <v>11.170000076293944</v>
      </c>
      <c r="I175">
        <v>11.460000038146973</v>
      </c>
      <c r="J175">
        <v>5.3797001838684082</v>
      </c>
      <c r="K175">
        <v>5.3210000991821289</v>
      </c>
      <c r="L175">
        <v>109.33999633789063</v>
      </c>
      <c r="M175">
        <v>22.68</v>
      </c>
      <c r="N175">
        <v>34.729999999999997</v>
      </c>
      <c r="O175">
        <v>85.356002807617188</v>
      </c>
      <c r="Q175">
        <v>1.6269256394391209</v>
      </c>
      <c r="R175">
        <v>1.174275541785708</v>
      </c>
      <c r="S175">
        <v>1.135480827150777</v>
      </c>
      <c r="T175">
        <v>1</v>
      </c>
    </row>
    <row r="176" spans="1:20" x14ac:dyDescent="0.25">
      <c r="A176" s="11">
        <v>44986</v>
      </c>
      <c r="B176">
        <v>70.279998779296875</v>
      </c>
      <c r="C176">
        <v>409.54998779296881</v>
      </c>
      <c r="D176">
        <v>25.860000610351559</v>
      </c>
      <c r="E176">
        <v>165.27999877929688</v>
      </c>
      <c r="F176">
        <v>210.97</v>
      </c>
      <c r="G176">
        <v>79.13</v>
      </c>
      <c r="H176">
        <v>11.149999618530272</v>
      </c>
      <c r="I176">
        <v>11.439999580383301</v>
      </c>
      <c r="J176">
        <v>5.370999813079834</v>
      </c>
      <c r="K176">
        <v>5.2969999313354492</v>
      </c>
      <c r="L176">
        <v>109.01999664306641</v>
      </c>
      <c r="M176">
        <v>22.65</v>
      </c>
      <c r="N176">
        <v>34.72</v>
      </c>
      <c r="O176">
        <v>84.545997619628906</v>
      </c>
    </row>
    <row r="177" spans="1:15" x14ac:dyDescent="0.25">
      <c r="A177" s="11">
        <v>44987</v>
      </c>
      <c r="B177">
        <v>71.150001525878906</v>
      </c>
      <c r="C177">
        <v>408.64999389648438</v>
      </c>
      <c r="D177">
        <v>25.75</v>
      </c>
      <c r="E177">
        <v>166.24000549316406</v>
      </c>
      <c r="F177">
        <v>209.89</v>
      </c>
      <c r="G177">
        <v>79.86</v>
      </c>
      <c r="H177">
        <v>11.149999618530272</v>
      </c>
      <c r="I177">
        <v>11.430000305175779</v>
      </c>
      <c r="J177">
        <v>5.3607001304626474</v>
      </c>
      <c r="K177">
        <v>5.2760000228881836</v>
      </c>
      <c r="L177">
        <v>109.09999847412109</v>
      </c>
      <c r="M177">
        <v>22.62</v>
      </c>
      <c r="N177">
        <v>34.630000000000003</v>
      </c>
      <c r="O177">
        <v>84.898002624511719</v>
      </c>
    </row>
    <row r="178" spans="1:15" x14ac:dyDescent="0.25">
      <c r="A178" s="11">
        <v>44988</v>
      </c>
      <c r="B178">
        <v>72.470001220703125</v>
      </c>
      <c r="C178">
        <v>416.45001220703131</v>
      </c>
      <c r="D178">
        <v>25.950000762939453</v>
      </c>
      <c r="E178">
        <v>168.77999877929688</v>
      </c>
      <c r="F178">
        <v>212.95</v>
      </c>
      <c r="G178">
        <v>81.02</v>
      </c>
      <c r="H178">
        <v>11.170000076293944</v>
      </c>
      <c r="I178">
        <v>11.460000038146973</v>
      </c>
      <c r="J178">
        <v>5.3899998664855957</v>
      </c>
      <c r="K178">
        <v>5.3449997901916504</v>
      </c>
      <c r="L178">
        <v>109.23999786376952</v>
      </c>
      <c r="M178">
        <v>22.72</v>
      </c>
      <c r="N178">
        <v>34.700000000000003</v>
      </c>
      <c r="O178">
        <v>85.699996948242188</v>
      </c>
    </row>
    <row r="179" spans="1:15" x14ac:dyDescent="0.25">
      <c r="A179" s="11">
        <v>44991</v>
      </c>
      <c r="B179">
        <v>71.959999084472656</v>
      </c>
      <c r="C179">
        <v>421.95001220703131</v>
      </c>
      <c r="D179">
        <v>25.709999084472656</v>
      </c>
      <c r="E179">
        <v>169.27999877929688</v>
      </c>
      <c r="F179">
        <v>214.97</v>
      </c>
      <c r="G179">
        <v>81.19</v>
      </c>
      <c r="H179">
        <v>11.170000076293944</v>
      </c>
      <c r="I179">
        <v>11.460000038146973</v>
      </c>
      <c r="J179">
        <v>5.39739990234375</v>
      </c>
      <c r="K179">
        <v>5.3610000610351563</v>
      </c>
      <c r="L179">
        <v>109.23999786376952</v>
      </c>
      <c r="M179">
        <v>22.79</v>
      </c>
      <c r="N179">
        <v>34.86</v>
      </c>
      <c r="O179">
        <v>85.573997497558594</v>
      </c>
    </row>
    <row r="180" spans="1:15" x14ac:dyDescent="0.25">
      <c r="A180" s="11">
        <v>44992</v>
      </c>
      <c r="B180">
        <v>71</v>
      </c>
      <c r="C180">
        <v>415.79998779296881</v>
      </c>
      <c r="D180">
        <v>25.430000305175781</v>
      </c>
      <c r="E180">
        <v>168.30000305175781</v>
      </c>
      <c r="F180">
        <v>214.75</v>
      </c>
      <c r="G180">
        <v>79.760000000000005</v>
      </c>
      <c r="H180">
        <v>11.140000343322754</v>
      </c>
      <c r="I180">
        <v>11.449999809265137</v>
      </c>
      <c r="J180">
        <v>5.3899998664855957</v>
      </c>
      <c r="K180">
        <v>5.3464999198913574</v>
      </c>
      <c r="L180">
        <v>109.18000030517578</v>
      </c>
      <c r="M180">
        <v>22.76</v>
      </c>
      <c r="N180">
        <v>34.93</v>
      </c>
      <c r="O180">
        <v>85.744003295898438</v>
      </c>
    </row>
    <row r="181" spans="1:15" x14ac:dyDescent="0.25">
      <c r="A181" s="11">
        <v>44993</v>
      </c>
      <c r="B181">
        <v>71.169998168945313</v>
      </c>
      <c r="C181">
        <v>413.20001220703131</v>
      </c>
      <c r="D181">
        <v>25.379999160766602</v>
      </c>
      <c r="E181">
        <v>167.97999572753906</v>
      </c>
      <c r="F181">
        <v>211.31</v>
      </c>
      <c r="G181">
        <v>79.87</v>
      </c>
      <c r="H181">
        <v>11.130000114440918</v>
      </c>
      <c r="I181">
        <v>11.430000305175779</v>
      </c>
      <c r="J181">
        <v>5.345099925994873</v>
      </c>
      <c r="K181">
        <v>5.3410000801086426</v>
      </c>
      <c r="L181">
        <v>109.04000091552734</v>
      </c>
      <c r="M181">
        <v>22.68</v>
      </c>
      <c r="N181">
        <v>34.82</v>
      </c>
      <c r="O181">
        <v>85.620002746582031</v>
      </c>
    </row>
    <row r="182" spans="1:15" x14ac:dyDescent="0.25">
      <c r="A182" s="11">
        <v>44994</v>
      </c>
      <c r="B182">
        <v>69.550003051757813</v>
      </c>
      <c r="C182">
        <v>414.39999389648438</v>
      </c>
      <c r="D182">
        <v>24.920000076293945</v>
      </c>
      <c r="E182">
        <v>167.74000549316406</v>
      </c>
      <c r="F182">
        <v>213.1</v>
      </c>
      <c r="G182">
        <v>78.709999999999994</v>
      </c>
      <c r="H182">
        <v>11.159999847412109</v>
      </c>
      <c r="I182">
        <v>11.449999809265137</v>
      </c>
      <c r="J182">
        <v>5.345099925994873</v>
      </c>
      <c r="K182">
        <v>5.3340001106262207</v>
      </c>
      <c r="L182">
        <v>109</v>
      </c>
      <c r="M182">
        <v>22.65</v>
      </c>
      <c r="N182">
        <v>34.75</v>
      </c>
      <c r="O182">
        <v>85.538002014160156</v>
      </c>
    </row>
    <row r="183" spans="1:15" x14ac:dyDescent="0.25">
      <c r="A183" s="11">
        <v>44995</v>
      </c>
      <c r="B183">
        <v>68.279998779296875</v>
      </c>
      <c r="C183">
        <v>408.20001220703131</v>
      </c>
      <c r="D183">
        <v>24.370000839233398</v>
      </c>
      <c r="E183">
        <v>164.32000732421875</v>
      </c>
      <c r="F183">
        <v>208.83</v>
      </c>
      <c r="G183">
        <v>77.48</v>
      </c>
      <c r="H183">
        <v>11.210000038146973</v>
      </c>
      <c r="I183">
        <v>11.479999542236328</v>
      </c>
      <c r="J183">
        <v>5.3801999092102051</v>
      </c>
      <c r="K183">
        <v>5.3864998817443848</v>
      </c>
      <c r="L183">
        <v>109.87999725341795</v>
      </c>
      <c r="M183">
        <v>22.6</v>
      </c>
      <c r="N183">
        <v>34.67</v>
      </c>
      <c r="O183">
        <v>84.582000732421875</v>
      </c>
    </row>
    <row r="184" spans="1:15" x14ac:dyDescent="0.25">
      <c r="A184" s="11">
        <v>44998</v>
      </c>
      <c r="B184">
        <v>68.260002136230469</v>
      </c>
      <c r="C184">
        <v>401.70001220703131</v>
      </c>
      <c r="D184">
        <v>23.760000228881839</v>
      </c>
      <c r="E184">
        <v>160.46000671386719</v>
      </c>
      <c r="F184">
        <v>209.17</v>
      </c>
      <c r="G184">
        <v>77.47</v>
      </c>
      <c r="H184">
        <v>11.270000457763672</v>
      </c>
      <c r="I184">
        <v>11.510000228881836</v>
      </c>
      <c r="J184">
        <v>5.387700080871582</v>
      </c>
      <c r="K184">
        <v>5.4279999732971191</v>
      </c>
      <c r="L184">
        <v>110.90000152587891</v>
      </c>
      <c r="M184">
        <v>22.53</v>
      </c>
      <c r="N184">
        <v>34.54</v>
      </c>
      <c r="O184">
        <v>83.777999877929688</v>
      </c>
    </row>
    <row r="185" spans="1:15" x14ac:dyDescent="0.25">
      <c r="A185" s="11">
        <v>44999</v>
      </c>
      <c r="B185">
        <v>69.699996948242188</v>
      </c>
      <c r="C185">
        <v>406.89999389648438</v>
      </c>
      <c r="D185">
        <v>24.110000610351559</v>
      </c>
      <c r="E185">
        <v>162.53999328613281</v>
      </c>
      <c r="F185">
        <v>210.83</v>
      </c>
      <c r="G185">
        <v>78.75</v>
      </c>
      <c r="H185">
        <v>11.229999542236328</v>
      </c>
      <c r="I185">
        <v>11.489999771118164</v>
      </c>
      <c r="J185">
        <v>5.3299999237060547</v>
      </c>
      <c r="K185">
        <v>5.4019999504089364</v>
      </c>
      <c r="L185">
        <v>110.73999786376952</v>
      </c>
      <c r="M185">
        <v>22.54</v>
      </c>
      <c r="N185">
        <v>34.64</v>
      </c>
      <c r="O185">
        <v>84.055999755859375</v>
      </c>
    </row>
    <row r="186" spans="1:15" x14ac:dyDescent="0.25">
      <c r="A186" s="11">
        <v>45000</v>
      </c>
      <c r="B186">
        <v>69.330001831054688</v>
      </c>
      <c r="C186">
        <v>400.45001220703131</v>
      </c>
      <c r="D186">
        <v>23.760000228881839</v>
      </c>
      <c r="E186">
        <v>160.82000732421875</v>
      </c>
      <c r="F186">
        <v>207.46</v>
      </c>
      <c r="G186">
        <v>78.11</v>
      </c>
      <c r="H186">
        <v>11.25</v>
      </c>
      <c r="I186">
        <v>11.479999542236328</v>
      </c>
      <c r="J186">
        <v>5.3705000877380371</v>
      </c>
      <c r="K186">
        <v>5.4229998588562012</v>
      </c>
      <c r="L186">
        <v>111.44000244140624</v>
      </c>
      <c r="M186">
        <v>22.46</v>
      </c>
      <c r="N186">
        <v>34.479999999999997</v>
      </c>
      <c r="O186">
        <v>84.819999694824219</v>
      </c>
    </row>
    <row r="187" spans="1:15" x14ac:dyDescent="0.25">
      <c r="A187" s="11">
        <v>45001</v>
      </c>
      <c r="B187">
        <v>70.930000305175781</v>
      </c>
      <c r="C187">
        <v>408.29998779296881</v>
      </c>
      <c r="D187">
        <v>24.299999237060547</v>
      </c>
      <c r="E187">
        <v>162.75999450683594</v>
      </c>
      <c r="F187">
        <v>210.68</v>
      </c>
      <c r="G187">
        <v>79.31</v>
      </c>
      <c r="H187">
        <v>11.220000267028809</v>
      </c>
      <c r="I187">
        <v>11.449999809265137</v>
      </c>
      <c r="J187">
        <v>5.3941001892089844</v>
      </c>
      <c r="K187">
        <v>5.4250001907348633</v>
      </c>
      <c r="L187">
        <v>111.09999847412109</v>
      </c>
      <c r="M187">
        <v>22.5</v>
      </c>
      <c r="N187">
        <v>34.44</v>
      </c>
      <c r="O187">
        <v>84.713996887207031</v>
      </c>
    </row>
    <row r="188" spans="1:15" x14ac:dyDescent="0.25">
      <c r="A188" s="11">
        <v>45002</v>
      </c>
      <c r="B188">
        <v>70.050003051757813</v>
      </c>
      <c r="C188">
        <v>407.5</v>
      </c>
      <c r="E188">
        <v>161.52000427246094</v>
      </c>
      <c r="F188">
        <v>210.81</v>
      </c>
      <c r="G188">
        <v>78.98</v>
      </c>
      <c r="J188">
        <v>5.4121999740600586</v>
      </c>
      <c r="K188">
        <v>5.4565000534057617</v>
      </c>
      <c r="L188">
        <v>111.09999847412109</v>
      </c>
      <c r="M188">
        <v>22.49</v>
      </c>
      <c r="N188">
        <v>34.5</v>
      </c>
      <c r="O188">
        <v>84.092002868652344</v>
      </c>
    </row>
    <row r="189" spans="1:15" x14ac:dyDescent="0.25">
      <c r="A189" s="11">
        <v>45005</v>
      </c>
      <c r="B189">
        <v>70.699996948242188</v>
      </c>
      <c r="C189">
        <v>408.04998779296881</v>
      </c>
      <c r="D189">
        <v>24.170000076293945</v>
      </c>
      <c r="E189">
        <v>161.58000183105469</v>
      </c>
      <c r="F189">
        <v>212.17</v>
      </c>
      <c r="G189">
        <v>79.47</v>
      </c>
      <c r="H189">
        <v>11.25</v>
      </c>
      <c r="I189">
        <v>11.470000267028809</v>
      </c>
      <c r="J189">
        <v>5.4159998893737793</v>
      </c>
      <c r="K189">
        <v>5.4510002136230469</v>
      </c>
      <c r="L189">
        <v>111.37999725341795</v>
      </c>
      <c r="M189">
        <v>22.45</v>
      </c>
      <c r="N189">
        <v>34.49</v>
      </c>
      <c r="O189">
        <v>83.477996826171875</v>
      </c>
    </row>
    <row r="190" spans="1:15" x14ac:dyDescent="0.25">
      <c r="A190" s="11">
        <v>45006</v>
      </c>
      <c r="B190">
        <v>71.800003051757813</v>
      </c>
      <c r="C190">
        <v>413.14999389648438</v>
      </c>
      <c r="D190">
        <v>24.469999313354489</v>
      </c>
      <c r="E190">
        <v>162.80000305175781</v>
      </c>
      <c r="F190">
        <v>213.29</v>
      </c>
      <c r="G190">
        <v>80.45</v>
      </c>
      <c r="H190">
        <v>11.229999542236328</v>
      </c>
      <c r="I190">
        <v>11.460000038146973</v>
      </c>
      <c r="J190">
        <v>5.4028000831604004</v>
      </c>
      <c r="K190">
        <v>5.4539999961853027</v>
      </c>
      <c r="L190">
        <v>111.16000366210938</v>
      </c>
      <c r="M190">
        <v>22.56</v>
      </c>
      <c r="N190">
        <v>34.56</v>
      </c>
      <c r="O190">
        <v>83.695999145507813</v>
      </c>
    </row>
    <row r="191" spans="1:15" x14ac:dyDescent="0.25">
      <c r="A191" s="11">
        <v>45007</v>
      </c>
      <c r="B191">
        <v>70.230003356933594</v>
      </c>
      <c r="C191">
        <v>414.79998779296881</v>
      </c>
      <c r="D191">
        <v>24.040000915527344</v>
      </c>
      <c r="E191">
        <v>163.1199951171875</v>
      </c>
      <c r="F191">
        <v>215.77</v>
      </c>
      <c r="G191">
        <v>79.459999999999994</v>
      </c>
      <c r="H191">
        <v>11.279999732971191</v>
      </c>
      <c r="I191">
        <v>11.510000228881836</v>
      </c>
      <c r="J191">
        <v>5.3976998329162598</v>
      </c>
      <c r="K191">
        <v>5.4594998359680176</v>
      </c>
      <c r="L191">
        <v>110.75</v>
      </c>
      <c r="M191">
        <v>22.62</v>
      </c>
      <c r="N191">
        <v>34.58</v>
      </c>
      <c r="O191">
        <v>83.557998657226563</v>
      </c>
    </row>
    <row r="192" spans="1:15" x14ac:dyDescent="0.25">
      <c r="A192" s="11">
        <v>45008</v>
      </c>
      <c r="B192">
        <v>70.620002746582031</v>
      </c>
      <c r="C192">
        <v>414.10000610351563</v>
      </c>
      <c r="D192">
        <v>24.120000839233398</v>
      </c>
      <c r="E192">
        <v>162.08000183105469</v>
      </c>
      <c r="F192">
        <v>215.77</v>
      </c>
      <c r="G192">
        <v>80.209999999999994</v>
      </c>
      <c r="H192">
        <v>11.310000419616699</v>
      </c>
      <c r="I192">
        <v>11.539999961853027</v>
      </c>
      <c r="J192">
        <v>5.4331998825073242</v>
      </c>
      <c r="K192">
        <v>5.4970002174377441</v>
      </c>
      <c r="L192">
        <v>111.25</v>
      </c>
      <c r="M192">
        <v>22.63</v>
      </c>
      <c r="N192">
        <v>34.659999999999997</v>
      </c>
      <c r="O192">
        <v>83.2239990234375</v>
      </c>
    </row>
    <row r="193" spans="1:20" x14ac:dyDescent="0.25">
      <c r="A193" s="11">
        <v>45009</v>
      </c>
      <c r="B193">
        <v>70.730003356933594</v>
      </c>
      <c r="C193">
        <v>409.20001220703131</v>
      </c>
      <c r="D193">
        <v>24.030000686645508</v>
      </c>
      <c r="E193">
        <v>161.60000610351563</v>
      </c>
      <c r="F193">
        <v>213.76</v>
      </c>
      <c r="G193">
        <v>80.099999999999994</v>
      </c>
      <c r="H193">
        <v>11.300000190734863</v>
      </c>
      <c r="I193">
        <v>11.529999732971191</v>
      </c>
      <c r="J193">
        <v>5.4356999397277832</v>
      </c>
      <c r="K193">
        <v>5.5180001258850098</v>
      </c>
      <c r="L193">
        <v>111.73000335693359</v>
      </c>
      <c r="M193">
        <v>22.57</v>
      </c>
      <c r="N193">
        <v>34.590000000000003</v>
      </c>
      <c r="O193">
        <v>83.416000366210938</v>
      </c>
    </row>
    <row r="194" spans="1:20" x14ac:dyDescent="0.25">
      <c r="A194" s="11">
        <v>45012</v>
      </c>
      <c r="B194">
        <v>70.849998474121094</v>
      </c>
      <c r="C194">
        <v>412.95001220703131</v>
      </c>
      <c r="D194">
        <v>24.270000457763672</v>
      </c>
      <c r="E194">
        <v>162.60000610351563</v>
      </c>
      <c r="F194">
        <v>216.48</v>
      </c>
      <c r="G194">
        <v>80.260000000000005</v>
      </c>
      <c r="H194">
        <v>11.270000457763672</v>
      </c>
      <c r="I194">
        <v>11.5</v>
      </c>
      <c r="J194">
        <v>5.445000171661377</v>
      </c>
      <c r="K194">
        <v>5.4920001029968262</v>
      </c>
      <c r="L194">
        <v>111.23999786376952</v>
      </c>
      <c r="M194">
        <v>22.58</v>
      </c>
      <c r="N194">
        <v>34.58</v>
      </c>
      <c r="O194">
        <v>83.339996337890625</v>
      </c>
    </row>
    <row r="195" spans="1:20" x14ac:dyDescent="0.25">
      <c r="A195" s="11">
        <v>45013</v>
      </c>
      <c r="B195">
        <v>70.819999694824219</v>
      </c>
      <c r="C195">
        <v>412.5</v>
      </c>
      <c r="D195">
        <v>24.270000457763672</v>
      </c>
      <c r="E195">
        <v>162.16000366210938</v>
      </c>
      <c r="F195">
        <v>215.51</v>
      </c>
      <c r="G195">
        <v>80.040000000000006</v>
      </c>
      <c r="H195">
        <v>11.25</v>
      </c>
      <c r="I195">
        <v>11.479999542236328</v>
      </c>
      <c r="J195">
        <v>5.4056000709533691</v>
      </c>
      <c r="K195">
        <v>5.4584999084472656</v>
      </c>
      <c r="L195">
        <v>111.16000366210938</v>
      </c>
      <c r="M195">
        <v>22.57</v>
      </c>
      <c r="N195">
        <v>34.549999999999997</v>
      </c>
      <c r="O195">
        <v>82.6719970703125</v>
      </c>
    </row>
    <row r="196" spans="1:20" x14ac:dyDescent="0.25">
      <c r="A196" s="11">
        <v>45014</v>
      </c>
      <c r="B196">
        <v>72.160003662109375</v>
      </c>
      <c r="C196">
        <v>416.5</v>
      </c>
      <c r="D196">
        <v>24.389999389648441</v>
      </c>
      <c r="E196">
        <v>163.74000549316406</v>
      </c>
      <c r="F196">
        <v>217.46</v>
      </c>
      <c r="G196">
        <v>81.14</v>
      </c>
      <c r="H196">
        <v>11.25</v>
      </c>
      <c r="I196">
        <v>11.489999771118164</v>
      </c>
      <c r="J196">
        <v>5.428800106048584</v>
      </c>
      <c r="K196">
        <v>5.4660000801086426</v>
      </c>
      <c r="L196">
        <v>111.12000274658205</v>
      </c>
      <c r="M196">
        <v>22.66</v>
      </c>
      <c r="N196">
        <v>34.630000000000003</v>
      </c>
      <c r="O196">
        <v>83.178001403808594</v>
      </c>
    </row>
    <row r="197" spans="1:20" x14ac:dyDescent="0.25">
      <c r="A197" s="11">
        <v>45015</v>
      </c>
      <c r="B197">
        <v>72.669998168945313</v>
      </c>
      <c r="C197">
        <v>420.04998779296881</v>
      </c>
      <c r="D197">
        <v>24.350000381469727</v>
      </c>
      <c r="E197">
        <v>164.58000183105469</v>
      </c>
      <c r="F197">
        <v>219.7</v>
      </c>
      <c r="G197">
        <v>81.7</v>
      </c>
      <c r="H197">
        <v>11.260000228881836</v>
      </c>
      <c r="I197">
        <v>11.510000228881836</v>
      </c>
      <c r="J197">
        <v>5.4600000381469727</v>
      </c>
      <c r="K197">
        <v>5.4860000610351563</v>
      </c>
      <c r="L197">
        <v>111.16999816894533</v>
      </c>
      <c r="M197">
        <v>22.74</v>
      </c>
      <c r="N197">
        <v>34.72</v>
      </c>
      <c r="O197">
        <v>83.321998596191406</v>
      </c>
    </row>
    <row r="198" spans="1:20" x14ac:dyDescent="0.25">
      <c r="A198" s="11">
        <v>45016</v>
      </c>
      <c r="B198">
        <v>73.830001831054688</v>
      </c>
      <c r="C198">
        <v>423.60000610351563</v>
      </c>
      <c r="D198">
        <v>24.870000839233398</v>
      </c>
      <c r="E198">
        <v>166.39999389648438</v>
      </c>
      <c r="F198">
        <v>221.1</v>
      </c>
      <c r="G198">
        <v>82.59</v>
      </c>
      <c r="H198">
        <v>11.279999732971191</v>
      </c>
      <c r="I198">
        <v>11.529999732971191</v>
      </c>
      <c r="J198">
        <v>5.458399772644043</v>
      </c>
      <c r="K198">
        <v>5.5</v>
      </c>
      <c r="L198">
        <v>111</v>
      </c>
      <c r="M198">
        <v>22.89</v>
      </c>
      <c r="N198">
        <v>34.83</v>
      </c>
      <c r="O198">
        <v>84.580001831054688</v>
      </c>
      <c r="Q198">
        <v>1.6054502209985246</v>
      </c>
      <c r="R198">
        <v>1.1801469194946363</v>
      </c>
      <c r="S198">
        <v>1.1404769427902404</v>
      </c>
      <c r="T198">
        <v>1</v>
      </c>
    </row>
    <row r="199" spans="1:20" x14ac:dyDescent="0.25">
      <c r="A199" s="11">
        <v>45019</v>
      </c>
      <c r="B199">
        <v>73.480003356933594</v>
      </c>
      <c r="C199">
        <v>426.10000610351563</v>
      </c>
      <c r="D199">
        <v>24.729999542236328</v>
      </c>
      <c r="E199">
        <v>166.6199951171875</v>
      </c>
      <c r="F199">
        <v>221.12</v>
      </c>
      <c r="G199">
        <v>82.7</v>
      </c>
      <c r="H199">
        <v>11.300000190734863</v>
      </c>
      <c r="I199">
        <v>11.560000419616699</v>
      </c>
      <c r="J199">
        <v>5.441500186920166</v>
      </c>
      <c r="K199">
        <v>5.5630002021789551</v>
      </c>
      <c r="L199">
        <v>111.25</v>
      </c>
      <c r="M199">
        <v>22.96</v>
      </c>
      <c r="N199">
        <v>35</v>
      </c>
      <c r="O199">
        <v>84.674003601074219</v>
      </c>
    </row>
    <row r="200" spans="1:20" x14ac:dyDescent="0.25">
      <c r="A200" s="11">
        <v>45020</v>
      </c>
      <c r="B200">
        <v>73.040000915527344</v>
      </c>
      <c r="C200">
        <v>425.54998779296881</v>
      </c>
      <c r="D200">
        <v>24.510000228881839</v>
      </c>
      <c r="E200">
        <v>165.63999938964844</v>
      </c>
      <c r="F200">
        <v>223.46</v>
      </c>
      <c r="G200">
        <v>82.59</v>
      </c>
      <c r="H200">
        <v>11.329999923706056</v>
      </c>
      <c r="I200">
        <v>11.590000152587891</v>
      </c>
      <c r="J200">
        <v>5.4524998664855957</v>
      </c>
      <c r="K200">
        <v>5.5780000686645508</v>
      </c>
      <c r="L200">
        <v>111.29499816894533</v>
      </c>
      <c r="M200">
        <v>22.95</v>
      </c>
      <c r="N200">
        <v>35.06</v>
      </c>
      <c r="O200">
        <v>84.019996643066406</v>
      </c>
    </row>
    <row r="201" spans="1:20" x14ac:dyDescent="0.25">
      <c r="A201" s="11">
        <v>45021</v>
      </c>
      <c r="B201">
        <v>72.410003662109375</v>
      </c>
      <c r="C201">
        <v>424.35000610351563</v>
      </c>
      <c r="D201">
        <v>24.139999389648441</v>
      </c>
      <c r="E201">
        <v>165.16000366210938</v>
      </c>
      <c r="F201">
        <v>223.08</v>
      </c>
      <c r="G201">
        <v>82.36</v>
      </c>
      <c r="H201">
        <v>11.329999923706056</v>
      </c>
      <c r="I201">
        <v>11.590000152587891</v>
      </c>
      <c r="J201">
        <v>5.488800048828125</v>
      </c>
      <c r="K201">
        <v>5.5869998931884766</v>
      </c>
      <c r="L201">
        <v>111.56999969482422</v>
      </c>
      <c r="M201">
        <v>22.9</v>
      </c>
      <c r="N201">
        <v>35.049999999999997</v>
      </c>
      <c r="O201">
        <v>84.005996704101563</v>
      </c>
    </row>
    <row r="202" spans="1:20" x14ac:dyDescent="0.25">
      <c r="A202" s="11">
        <v>45022</v>
      </c>
      <c r="B202">
        <v>72.80999755859375</v>
      </c>
      <c r="C202">
        <v>423.95001220703131</v>
      </c>
      <c r="D202">
        <v>24.319999694824219</v>
      </c>
      <c r="E202">
        <v>165.33999633789063</v>
      </c>
      <c r="F202">
        <v>221.93</v>
      </c>
      <c r="G202">
        <v>82.55</v>
      </c>
      <c r="H202">
        <v>11.329999923706056</v>
      </c>
      <c r="I202">
        <v>11.590000152587891</v>
      </c>
      <c r="J202">
        <v>5.4962000846862793</v>
      </c>
      <c r="K202">
        <v>5.5960001945495605</v>
      </c>
      <c r="L202">
        <v>112.19000244140624</v>
      </c>
      <c r="M202">
        <v>22.91</v>
      </c>
      <c r="N202">
        <v>35.020000000000003</v>
      </c>
      <c r="O202">
        <v>83.875999450683594</v>
      </c>
    </row>
    <row r="203" spans="1:20" x14ac:dyDescent="0.25">
      <c r="A203" s="11">
        <v>45026</v>
      </c>
      <c r="B203">
        <v>72.949996948242188</v>
      </c>
      <c r="J203">
        <v>5.4991998672485352</v>
      </c>
    </row>
    <row r="204" spans="1:20" x14ac:dyDescent="0.25">
      <c r="A204" s="11">
        <v>45027</v>
      </c>
      <c r="B204">
        <v>73.139999389648438</v>
      </c>
      <c r="C204">
        <v>426.60000610351563</v>
      </c>
      <c r="D204">
        <v>24.809999465942383</v>
      </c>
      <c r="E204">
        <v>166.46000671386719</v>
      </c>
      <c r="F204">
        <v>223.22</v>
      </c>
      <c r="G204">
        <v>82.51</v>
      </c>
      <c r="H204">
        <v>11.300000190734863</v>
      </c>
      <c r="I204">
        <v>11.560000419616699</v>
      </c>
      <c r="J204">
        <v>5.4763998985290527</v>
      </c>
      <c r="K204">
        <v>5.554999828338623</v>
      </c>
      <c r="L204">
        <v>111.33999633789063</v>
      </c>
      <c r="M204">
        <v>22.93</v>
      </c>
      <c r="N204">
        <v>35.090000000000003</v>
      </c>
      <c r="O204">
        <v>84.2760009765625</v>
      </c>
    </row>
    <row r="205" spans="1:20" x14ac:dyDescent="0.25">
      <c r="A205" s="11">
        <v>45028</v>
      </c>
      <c r="B205">
        <v>72.650001525878906</v>
      </c>
      <c r="C205">
        <v>426.95001220703131</v>
      </c>
      <c r="D205">
        <v>24.780000686645508</v>
      </c>
      <c r="E205">
        <v>165.75999450683594</v>
      </c>
      <c r="F205">
        <v>224.13</v>
      </c>
      <c r="G205">
        <v>82.5</v>
      </c>
      <c r="H205">
        <v>11.310000419616699</v>
      </c>
      <c r="I205">
        <v>11.590000152587891</v>
      </c>
      <c r="K205">
        <v>5.564000129699707</v>
      </c>
      <c r="L205">
        <v>111.22000122070313</v>
      </c>
      <c r="M205">
        <v>22.97</v>
      </c>
      <c r="N205">
        <v>35.18</v>
      </c>
      <c r="O205">
        <v>83.956001281738281</v>
      </c>
    </row>
    <row r="206" spans="1:20" x14ac:dyDescent="0.25">
      <c r="A206" s="11">
        <v>45029</v>
      </c>
      <c r="B206">
        <v>73.699996948242188</v>
      </c>
      <c r="C206">
        <v>427.85000610351563</v>
      </c>
      <c r="D206">
        <v>25.110000610351559</v>
      </c>
      <c r="E206">
        <v>165.47999572753906</v>
      </c>
      <c r="F206">
        <v>224.16</v>
      </c>
      <c r="G206">
        <v>83.73</v>
      </c>
      <c r="H206">
        <v>11.319999694824221</v>
      </c>
      <c r="I206">
        <v>11.590000152587891</v>
      </c>
      <c r="K206">
        <v>5.5560002326965332</v>
      </c>
      <c r="L206">
        <v>111.1999969482422</v>
      </c>
      <c r="M206">
        <v>23</v>
      </c>
      <c r="N206">
        <v>35.200000000000003</v>
      </c>
      <c r="O206">
        <v>83.669998168945313</v>
      </c>
    </row>
    <row r="207" spans="1:20" x14ac:dyDescent="0.25">
      <c r="A207" s="11">
        <v>45030</v>
      </c>
      <c r="B207">
        <v>73.449996948242188</v>
      </c>
      <c r="C207">
        <v>429.10000610351563</v>
      </c>
      <c r="D207">
        <v>25.079999923706051</v>
      </c>
      <c r="E207">
        <v>166.52000427246094</v>
      </c>
      <c r="F207">
        <v>225.98</v>
      </c>
      <c r="G207">
        <v>83.49</v>
      </c>
      <c r="H207">
        <v>11.300000190734863</v>
      </c>
      <c r="I207">
        <v>11.569999694824221</v>
      </c>
      <c r="J207">
        <v>5.4825000762939453</v>
      </c>
      <c r="K207">
        <v>5.5295000076293945</v>
      </c>
      <c r="L207">
        <v>111.27999877929688</v>
      </c>
      <c r="M207">
        <v>23.03</v>
      </c>
      <c r="N207">
        <v>35.26</v>
      </c>
      <c r="O207">
        <v>83.994003295898438</v>
      </c>
    </row>
    <row r="208" spans="1:20" x14ac:dyDescent="0.25">
      <c r="A208" s="11">
        <v>45033</v>
      </c>
      <c r="B208">
        <v>73.709999084472656</v>
      </c>
      <c r="C208">
        <v>429</v>
      </c>
      <c r="D208">
        <v>25.170000076293945</v>
      </c>
      <c r="E208">
        <v>167.46000671386719</v>
      </c>
      <c r="F208">
        <v>225.15</v>
      </c>
      <c r="G208">
        <v>83.61</v>
      </c>
      <c r="H208">
        <v>11.289999961853027</v>
      </c>
      <c r="I208">
        <v>11.560000419616699</v>
      </c>
      <c r="J208">
        <v>5.4397997856140137</v>
      </c>
      <c r="K208">
        <v>5.5069999694824219</v>
      </c>
      <c r="L208">
        <v>111.09999847412109</v>
      </c>
      <c r="M208">
        <v>23</v>
      </c>
      <c r="N208">
        <v>35.270000000000003</v>
      </c>
      <c r="O208">
        <v>84.089996337890625</v>
      </c>
    </row>
    <row r="209" spans="1:20" x14ac:dyDescent="0.25">
      <c r="A209" s="11">
        <v>45034</v>
      </c>
      <c r="B209">
        <v>73.819999694824219</v>
      </c>
      <c r="C209">
        <v>431.14999389648438</v>
      </c>
      <c r="D209">
        <v>25.229999542236328</v>
      </c>
      <c r="E209">
        <v>167.66000366210938</v>
      </c>
      <c r="F209">
        <v>225.97</v>
      </c>
      <c r="G209">
        <v>83.88</v>
      </c>
      <c r="H209">
        <v>11.289999961853027</v>
      </c>
      <c r="I209">
        <v>11.569999694824221</v>
      </c>
      <c r="J209">
        <v>5.4383001327514648</v>
      </c>
      <c r="K209">
        <v>5.5250000953674316</v>
      </c>
      <c r="L209">
        <v>111.05999755859376</v>
      </c>
      <c r="M209">
        <v>23.02</v>
      </c>
      <c r="N209">
        <v>35.229999999999997</v>
      </c>
      <c r="O209">
        <v>84.03399658203125</v>
      </c>
    </row>
    <row r="210" spans="1:20" x14ac:dyDescent="0.25">
      <c r="A210" s="11">
        <v>45035</v>
      </c>
      <c r="B210">
        <v>73.879997253417969</v>
      </c>
      <c r="C210">
        <v>430.89999389648438</v>
      </c>
      <c r="D210">
        <v>25.329999923706051</v>
      </c>
      <c r="E210">
        <v>167.17999267578125</v>
      </c>
      <c r="F210">
        <v>225.49</v>
      </c>
      <c r="G210">
        <v>83.55</v>
      </c>
      <c r="H210">
        <v>11.279999732971191</v>
      </c>
      <c r="I210">
        <v>11.560000419616699</v>
      </c>
      <c r="J210">
        <v>5.4200000762939453</v>
      </c>
      <c r="K210">
        <v>5.495999813079834</v>
      </c>
      <c r="L210">
        <v>110.95999908447266</v>
      </c>
      <c r="M210">
        <v>22.98</v>
      </c>
      <c r="N210">
        <v>35.19</v>
      </c>
      <c r="O210">
        <v>83.704002380371094</v>
      </c>
    </row>
    <row r="211" spans="1:20" x14ac:dyDescent="0.25">
      <c r="A211" s="11">
        <v>45036</v>
      </c>
      <c r="B211">
        <v>73.730003356933594</v>
      </c>
      <c r="C211">
        <v>428.95001220703131</v>
      </c>
      <c r="D211">
        <v>25.290000915527344</v>
      </c>
      <c r="E211">
        <v>166.74000549316406</v>
      </c>
      <c r="F211">
        <v>224.69</v>
      </c>
      <c r="G211">
        <v>83.48</v>
      </c>
      <c r="H211">
        <v>11.300000190734863</v>
      </c>
      <c r="I211">
        <v>11.569999694824221</v>
      </c>
      <c r="J211">
        <v>5.4415998458862314</v>
      </c>
      <c r="K211">
        <v>5.5159997940063477</v>
      </c>
      <c r="L211">
        <v>111.18000030517578</v>
      </c>
      <c r="M211">
        <v>22.95</v>
      </c>
      <c r="N211">
        <v>35.15</v>
      </c>
      <c r="O211">
        <v>83.524002075195313</v>
      </c>
    </row>
    <row r="212" spans="1:20" x14ac:dyDescent="0.25">
      <c r="A212" s="11">
        <v>45037</v>
      </c>
      <c r="B212">
        <v>73.830001831054688</v>
      </c>
      <c r="C212">
        <v>428.5</v>
      </c>
      <c r="D212">
        <v>25.379999160766602</v>
      </c>
      <c r="E212">
        <v>166.22000122070313</v>
      </c>
      <c r="F212">
        <v>226.71</v>
      </c>
      <c r="G212">
        <v>83.75</v>
      </c>
      <c r="H212">
        <v>11.300000190734863</v>
      </c>
      <c r="I212">
        <v>11.569999694824221</v>
      </c>
      <c r="J212">
        <v>5.429999828338623</v>
      </c>
      <c r="K212">
        <v>5.5159997940063477</v>
      </c>
      <c r="L212">
        <v>111.3000030517578</v>
      </c>
      <c r="M212">
        <v>22.98</v>
      </c>
      <c r="N212">
        <v>35.19</v>
      </c>
      <c r="O212">
        <v>83.667999267578125</v>
      </c>
    </row>
    <row r="213" spans="1:20" x14ac:dyDescent="0.25">
      <c r="A213" s="11">
        <v>45040</v>
      </c>
      <c r="B213">
        <v>73.699996948242188</v>
      </c>
      <c r="C213">
        <v>428.5</v>
      </c>
      <c r="D213">
        <v>25.270000457763672</v>
      </c>
      <c r="E213">
        <v>165.52000427246094</v>
      </c>
      <c r="F213">
        <v>227.61</v>
      </c>
      <c r="G213">
        <v>83.5</v>
      </c>
      <c r="H213">
        <v>11.310000419616699</v>
      </c>
      <c r="I213">
        <v>11.590000152587891</v>
      </c>
      <c r="J213">
        <v>5.4864997863769531</v>
      </c>
      <c r="K213">
        <v>5.5450000762939453</v>
      </c>
      <c r="L213">
        <v>111.29499816894533</v>
      </c>
      <c r="M213">
        <v>23.14</v>
      </c>
      <c r="N213">
        <v>35.25</v>
      </c>
      <c r="O213">
        <v>83.419998168945313</v>
      </c>
    </row>
    <row r="214" spans="1:20" x14ac:dyDescent="0.25">
      <c r="A214" s="11">
        <v>45041</v>
      </c>
      <c r="B214">
        <v>72.169998168945313</v>
      </c>
      <c r="C214">
        <v>426.85000610351563</v>
      </c>
      <c r="D214">
        <v>25.079999923706051</v>
      </c>
      <c r="E214">
        <v>165.08000183105469</v>
      </c>
      <c r="F214">
        <v>225.98</v>
      </c>
      <c r="G214">
        <v>82.19</v>
      </c>
      <c r="H214">
        <v>11.350000381469728</v>
      </c>
      <c r="I214">
        <v>11.630000114440918</v>
      </c>
      <c r="J214">
        <v>5.4661998748779297</v>
      </c>
      <c r="K214">
        <v>5.565000057220459</v>
      </c>
      <c r="L214">
        <v>111.48000335693359</v>
      </c>
      <c r="M214">
        <v>23.01</v>
      </c>
      <c r="N214">
        <v>35.270000000000003</v>
      </c>
      <c r="O214">
        <v>83.986000061035156</v>
      </c>
    </row>
    <row r="215" spans="1:20" x14ac:dyDescent="0.25">
      <c r="A215" s="11">
        <v>45042</v>
      </c>
      <c r="B215">
        <v>72.19000244140625</v>
      </c>
      <c r="C215">
        <v>424.64999389648438</v>
      </c>
      <c r="D215">
        <v>24.799999237060547</v>
      </c>
      <c r="E215">
        <v>163.39999389648438</v>
      </c>
      <c r="F215">
        <v>224.75</v>
      </c>
      <c r="G215">
        <v>82</v>
      </c>
      <c r="H215">
        <v>11.340000152587891</v>
      </c>
      <c r="I215">
        <v>11.619999885559082</v>
      </c>
      <c r="J215">
        <v>5.4781999588012695</v>
      </c>
      <c r="K215">
        <v>5.5590000152587891</v>
      </c>
      <c r="L215">
        <v>111.54000091552734</v>
      </c>
      <c r="M215">
        <v>22.98</v>
      </c>
      <c r="N215">
        <v>35.270000000000003</v>
      </c>
      <c r="O215">
        <v>83.068000793457031</v>
      </c>
    </row>
    <row r="216" spans="1:20" x14ac:dyDescent="0.25">
      <c r="A216" s="11">
        <v>45043</v>
      </c>
      <c r="B216">
        <v>73.910003662109375</v>
      </c>
      <c r="C216">
        <v>425.60000610351563</v>
      </c>
      <c r="D216">
        <v>24.930000305175781</v>
      </c>
      <c r="E216">
        <v>164.46000671386719</v>
      </c>
      <c r="F216">
        <v>225.32</v>
      </c>
      <c r="G216">
        <v>83.07</v>
      </c>
      <c r="H216">
        <v>11.310000419616699</v>
      </c>
      <c r="I216">
        <v>11.600000381469728</v>
      </c>
      <c r="J216">
        <v>5.4600000381469727</v>
      </c>
      <c r="K216">
        <v>5.5250000953674316</v>
      </c>
      <c r="L216">
        <v>111.58000183105467</v>
      </c>
      <c r="M216">
        <v>23.01</v>
      </c>
      <c r="N216">
        <v>35.270000000000003</v>
      </c>
      <c r="O216">
        <v>83.449996948242188</v>
      </c>
    </row>
    <row r="217" spans="1:20" x14ac:dyDescent="0.25">
      <c r="A217" s="11">
        <v>45044</v>
      </c>
      <c r="B217">
        <v>74.599998474121094</v>
      </c>
      <c r="C217">
        <v>431.64999389648438</v>
      </c>
      <c r="D217">
        <v>25</v>
      </c>
      <c r="E217">
        <v>165.80000305175781</v>
      </c>
      <c r="F217">
        <v>227.39</v>
      </c>
      <c r="G217">
        <v>84.07</v>
      </c>
      <c r="H217">
        <v>11.329999923706056</v>
      </c>
      <c r="I217">
        <v>11.619999885559082</v>
      </c>
      <c r="J217">
        <v>5.4570999145507813</v>
      </c>
      <c r="K217">
        <v>5.565000057220459</v>
      </c>
      <c r="L217">
        <v>111.41999816894533</v>
      </c>
      <c r="M217">
        <v>23.06</v>
      </c>
      <c r="N217">
        <v>35.32</v>
      </c>
      <c r="O217">
        <v>83.678001403808594</v>
      </c>
      <c r="Q217">
        <v>1.6099454816173204</v>
      </c>
      <c r="R217">
        <v>1.194308682528572</v>
      </c>
      <c r="S217">
        <v>1.1505131398867945</v>
      </c>
      <c r="T217">
        <v>1</v>
      </c>
    </row>
    <row r="218" spans="1:20" x14ac:dyDescent="0.25">
      <c r="A218" s="11">
        <v>45047</v>
      </c>
      <c r="B218">
        <v>74.459999084472656</v>
      </c>
      <c r="J218">
        <v>5.4478998184204102</v>
      </c>
    </row>
    <row r="219" spans="1:20" x14ac:dyDescent="0.25">
      <c r="A219" s="11">
        <v>45048</v>
      </c>
      <c r="B219">
        <v>73.720001220703125</v>
      </c>
      <c r="C219">
        <v>425.75</v>
      </c>
      <c r="D219">
        <v>24.579999923706051</v>
      </c>
      <c r="E219">
        <v>164.22000122070313</v>
      </c>
      <c r="F219">
        <v>227.81</v>
      </c>
      <c r="G219">
        <v>83.08</v>
      </c>
      <c r="H219">
        <v>11.340000152587891</v>
      </c>
      <c r="I219">
        <v>11.619999885559082</v>
      </c>
      <c r="J219">
        <v>5.4770002365112314</v>
      </c>
      <c r="K219">
        <v>5.5250000953674316</v>
      </c>
      <c r="L219">
        <v>111.54000091552734</v>
      </c>
      <c r="M219">
        <v>23.01</v>
      </c>
      <c r="N219">
        <v>35.340000000000003</v>
      </c>
      <c r="O219">
        <v>83.519996643066406</v>
      </c>
    </row>
    <row r="220" spans="1:20" x14ac:dyDescent="0.25">
      <c r="A220" s="11">
        <v>45049</v>
      </c>
      <c r="B220">
        <v>73.339996337890625</v>
      </c>
      <c r="C220">
        <v>427.79998779296881</v>
      </c>
      <c r="D220">
        <v>24.469999313354489</v>
      </c>
      <c r="E220">
        <v>164.3800048828125</v>
      </c>
      <c r="F220">
        <v>228.78</v>
      </c>
      <c r="G220">
        <v>82.14</v>
      </c>
      <c r="H220">
        <v>11.350000381469728</v>
      </c>
      <c r="I220">
        <v>11.630000114440918</v>
      </c>
      <c r="J220">
        <v>5.4642000198364258</v>
      </c>
      <c r="K220">
        <v>5.5570001602172852</v>
      </c>
      <c r="L220">
        <v>111.60500335693359</v>
      </c>
      <c r="M220">
        <v>23.02</v>
      </c>
      <c r="N220">
        <v>35.299999999999997</v>
      </c>
      <c r="O220">
        <v>83.061996459960938</v>
      </c>
    </row>
    <row r="221" spans="1:20" x14ac:dyDescent="0.25">
      <c r="A221" s="11">
        <v>45050</v>
      </c>
      <c r="B221">
        <v>72.540000915527344</v>
      </c>
      <c r="C221">
        <v>421.89999389648438</v>
      </c>
      <c r="D221">
        <v>24.280000686645508</v>
      </c>
      <c r="E221">
        <v>163.5</v>
      </c>
      <c r="F221">
        <v>226.02</v>
      </c>
      <c r="G221">
        <v>81.53</v>
      </c>
      <c r="H221">
        <v>11.369999885559082</v>
      </c>
      <c r="I221">
        <v>11.640000343322754</v>
      </c>
      <c r="J221">
        <v>5.4871997833251953</v>
      </c>
      <c r="K221">
        <v>5.5450000762939453</v>
      </c>
      <c r="L221">
        <v>112.05999755859376</v>
      </c>
      <c r="M221">
        <v>22.95</v>
      </c>
      <c r="N221">
        <v>35.28</v>
      </c>
      <c r="O221">
        <v>82.959999084472656</v>
      </c>
    </row>
    <row r="222" spans="1:20" x14ac:dyDescent="0.25">
      <c r="A222" s="11">
        <v>45051</v>
      </c>
      <c r="B222">
        <v>73.430000305175781</v>
      </c>
      <c r="C222">
        <v>428</v>
      </c>
      <c r="D222">
        <v>24.489999771118164</v>
      </c>
      <c r="E222">
        <v>165.63999938964844</v>
      </c>
      <c r="F222">
        <v>226.55</v>
      </c>
      <c r="G222">
        <v>82.46</v>
      </c>
      <c r="H222">
        <v>11.340000152587891</v>
      </c>
      <c r="I222">
        <v>11.619999885559082</v>
      </c>
      <c r="J222">
        <v>5.4675002098083496</v>
      </c>
      <c r="K222">
        <v>5.5149998664855957</v>
      </c>
      <c r="L222">
        <v>111.83999633789063</v>
      </c>
      <c r="M222">
        <v>22.99</v>
      </c>
      <c r="N222">
        <v>35.25</v>
      </c>
      <c r="O222">
        <v>83.176002502441406</v>
      </c>
    </row>
    <row r="223" spans="1:20" x14ac:dyDescent="0.25">
      <c r="A223" s="11">
        <v>45054</v>
      </c>
      <c r="B223">
        <v>73.540000915527344</v>
      </c>
      <c r="C223">
        <v>429.14999389648438</v>
      </c>
      <c r="D223">
        <v>24.5</v>
      </c>
      <c r="E223">
        <v>166.17999267578125</v>
      </c>
      <c r="F223">
        <v>227.33</v>
      </c>
      <c r="H223">
        <v>11.329999923706056</v>
      </c>
      <c r="I223">
        <v>11.609999656677246</v>
      </c>
      <c r="J223">
        <v>5.4519000053405762</v>
      </c>
      <c r="L223">
        <v>111.68499755859376</v>
      </c>
      <c r="M223">
        <v>22.99</v>
      </c>
      <c r="N223">
        <v>35.29</v>
      </c>
      <c r="O223">
        <v>83.068000793457031</v>
      </c>
    </row>
    <row r="224" spans="1:20" x14ac:dyDescent="0.25">
      <c r="A224" s="11">
        <v>45055</v>
      </c>
      <c r="B224">
        <v>73.129997253417969</v>
      </c>
      <c r="C224">
        <v>428.54998779296881</v>
      </c>
      <c r="D224">
        <v>24.299999237060547</v>
      </c>
      <c r="E224">
        <v>166.80000305175781</v>
      </c>
      <c r="H224">
        <v>11.319999694824221</v>
      </c>
      <c r="I224">
        <v>11.600000381469728</v>
      </c>
      <c r="J224">
        <v>5.4574999809265137</v>
      </c>
      <c r="K224">
        <v>5.4860000610351563</v>
      </c>
      <c r="L224">
        <v>111.63999938964844</v>
      </c>
      <c r="O224">
        <v>83.438003540039063</v>
      </c>
    </row>
    <row r="225" spans="1:20" x14ac:dyDescent="0.25">
      <c r="A225" s="11">
        <v>45056</v>
      </c>
      <c r="B225">
        <v>73.550003051757813</v>
      </c>
      <c r="C225">
        <v>429.54998779296881</v>
      </c>
      <c r="D225">
        <v>24.329999923706051</v>
      </c>
      <c r="E225">
        <v>166.53999328613281</v>
      </c>
      <c r="F225">
        <v>226.27</v>
      </c>
      <c r="G225">
        <v>82.59</v>
      </c>
      <c r="H225">
        <v>11.350000381469728</v>
      </c>
      <c r="I225">
        <v>11.630000114440918</v>
      </c>
      <c r="J225">
        <v>5.4724998474121094</v>
      </c>
      <c r="K225">
        <v>5.5089998245239258</v>
      </c>
      <c r="L225">
        <v>111.75</v>
      </c>
      <c r="M225">
        <v>23.04</v>
      </c>
      <c r="N225">
        <v>35.31</v>
      </c>
      <c r="O225">
        <v>83.564002990722656</v>
      </c>
    </row>
    <row r="226" spans="1:20" x14ac:dyDescent="0.25">
      <c r="A226" s="11">
        <v>45057</v>
      </c>
      <c r="B226">
        <v>73.349998474121094</v>
      </c>
      <c r="C226">
        <v>428.45001220703131</v>
      </c>
      <c r="D226">
        <v>24.090000152587891</v>
      </c>
      <c r="E226">
        <v>166.80000305175781</v>
      </c>
      <c r="F226">
        <v>225.1</v>
      </c>
      <c r="G226">
        <v>82.34</v>
      </c>
      <c r="H226">
        <v>11.350000381469728</v>
      </c>
      <c r="I226">
        <v>11.630000114440918</v>
      </c>
      <c r="J226">
        <v>5.4899997711181641</v>
      </c>
      <c r="K226">
        <v>5.5349998474121094</v>
      </c>
      <c r="L226">
        <v>111.83999633789063</v>
      </c>
      <c r="M226">
        <v>23.05</v>
      </c>
      <c r="N226">
        <v>35.31</v>
      </c>
      <c r="O226">
        <v>83.945999145507813</v>
      </c>
    </row>
    <row r="227" spans="1:20" x14ac:dyDescent="0.25">
      <c r="A227" s="11">
        <v>45058</v>
      </c>
      <c r="B227">
        <v>73.19000244140625</v>
      </c>
      <c r="C227">
        <v>427.85000610351563</v>
      </c>
      <c r="D227">
        <v>24.090000152587891</v>
      </c>
      <c r="E227">
        <v>167.30000305175781</v>
      </c>
      <c r="F227">
        <v>226.38</v>
      </c>
      <c r="G227">
        <v>82.28</v>
      </c>
      <c r="H227">
        <v>11.340000152587891</v>
      </c>
      <c r="I227">
        <v>11.619999885559082</v>
      </c>
      <c r="J227">
        <v>5.492800235748291</v>
      </c>
      <c r="K227">
        <v>5.5209999084472656</v>
      </c>
      <c r="L227">
        <v>111.77999877929688</v>
      </c>
      <c r="M227">
        <v>23.02</v>
      </c>
      <c r="N227">
        <v>35.33</v>
      </c>
      <c r="O227">
        <v>84.236000061035156</v>
      </c>
    </row>
    <row r="228" spans="1:20" x14ac:dyDescent="0.25">
      <c r="A228" s="11">
        <v>45061</v>
      </c>
      <c r="B228">
        <v>74.050003051757813</v>
      </c>
      <c r="C228">
        <v>428.89999389648438</v>
      </c>
      <c r="D228">
        <v>24.319999694824219</v>
      </c>
      <c r="E228">
        <v>168.02000427246094</v>
      </c>
      <c r="F228">
        <v>226.21</v>
      </c>
      <c r="G228">
        <v>82.76</v>
      </c>
      <c r="H228">
        <v>11.340000152587891</v>
      </c>
      <c r="I228">
        <v>11.609999656677246</v>
      </c>
      <c r="J228">
        <v>5.463900089263916</v>
      </c>
      <c r="K228">
        <v>5.4720001220703125</v>
      </c>
      <c r="L228">
        <v>111.70500183105467</v>
      </c>
      <c r="M228">
        <v>23.02</v>
      </c>
      <c r="N228">
        <v>35.299999999999997</v>
      </c>
      <c r="O228">
        <v>83.991996765136719</v>
      </c>
    </row>
    <row r="229" spans="1:20" x14ac:dyDescent="0.25">
      <c r="A229" s="11">
        <v>45062</v>
      </c>
      <c r="B229">
        <v>73.30999755859375</v>
      </c>
      <c r="C229">
        <v>428.64999389648438</v>
      </c>
      <c r="D229">
        <v>24.170000076293945</v>
      </c>
      <c r="E229">
        <v>167.66000366210938</v>
      </c>
      <c r="F229">
        <v>226.19</v>
      </c>
      <c r="G229">
        <v>82.35</v>
      </c>
      <c r="H229">
        <v>11.319999694824221</v>
      </c>
      <c r="I229">
        <v>11.590000152587891</v>
      </c>
      <c r="J229">
        <v>5.4742999076843262</v>
      </c>
      <c r="K229">
        <v>5.4470000267028809</v>
      </c>
      <c r="L229">
        <v>111.61499786376952</v>
      </c>
      <c r="M229">
        <v>22.97</v>
      </c>
      <c r="N229">
        <v>35.28</v>
      </c>
      <c r="O229">
        <v>83.755996704101563</v>
      </c>
    </row>
    <row r="230" spans="1:20" x14ac:dyDescent="0.25">
      <c r="A230" s="11">
        <v>45063</v>
      </c>
      <c r="B230">
        <v>74.510002136230469</v>
      </c>
      <c r="C230">
        <v>429.20001220703131</v>
      </c>
      <c r="D230">
        <v>24.610000610351559</v>
      </c>
      <c r="E230">
        <v>168.24000549316406</v>
      </c>
      <c r="F230">
        <v>224.8</v>
      </c>
      <c r="G230">
        <v>82.97</v>
      </c>
      <c r="H230">
        <v>11.310000419616699</v>
      </c>
      <c r="I230">
        <v>11.579999923706056</v>
      </c>
      <c r="J230">
        <v>5.4899997711181641</v>
      </c>
      <c r="K230">
        <v>5.4530000686645508</v>
      </c>
      <c r="L230">
        <v>111.48000335693359</v>
      </c>
      <c r="M230">
        <v>22.97</v>
      </c>
      <c r="N230">
        <v>35.200000000000003</v>
      </c>
      <c r="O230">
        <v>83.898002624511719</v>
      </c>
    </row>
    <row r="231" spans="1:20" x14ac:dyDescent="0.25">
      <c r="A231" s="11">
        <v>45064</v>
      </c>
      <c r="B231">
        <v>75.470001220703125</v>
      </c>
      <c r="D231">
        <v>24.739999771118164</v>
      </c>
      <c r="E231">
        <v>170.44000244140625</v>
      </c>
      <c r="H231">
        <v>11.289999961853027</v>
      </c>
      <c r="I231">
        <v>11.560000419616699</v>
      </c>
      <c r="J231">
        <v>5.4815001487731934</v>
      </c>
      <c r="K231">
        <v>5.4320001602172852</v>
      </c>
      <c r="O231">
        <v>84.444000244140625</v>
      </c>
    </row>
    <row r="232" spans="1:20" x14ac:dyDescent="0.25">
      <c r="A232" s="11">
        <v>45065</v>
      </c>
      <c r="B232">
        <v>75.139999389648438</v>
      </c>
      <c r="C232">
        <v>435.45001220703131</v>
      </c>
      <c r="D232">
        <v>24.620000839233398</v>
      </c>
      <c r="E232">
        <v>170.08000183105469</v>
      </c>
      <c r="F232">
        <v>227.42</v>
      </c>
      <c r="G232">
        <v>84.09</v>
      </c>
      <c r="H232">
        <v>11.289999961853027</v>
      </c>
      <c r="I232">
        <v>11.550000190734863</v>
      </c>
      <c r="J232">
        <v>5.451200008392334</v>
      </c>
      <c r="K232">
        <v>5.4330000877380371</v>
      </c>
      <c r="L232">
        <v>111.13999938964844</v>
      </c>
      <c r="M232">
        <v>22.96</v>
      </c>
      <c r="N232">
        <v>35.159999999999997</v>
      </c>
      <c r="O232">
        <v>81.762001037597656</v>
      </c>
    </row>
    <row r="233" spans="1:20" x14ac:dyDescent="0.25">
      <c r="A233" s="11">
        <v>45068</v>
      </c>
      <c r="B233">
        <v>75.529998779296875</v>
      </c>
      <c r="C233">
        <v>436.45001220703131</v>
      </c>
      <c r="D233">
        <v>24.870000839233398</v>
      </c>
      <c r="E233">
        <v>170.60000610351563</v>
      </c>
      <c r="F233">
        <v>227.07</v>
      </c>
      <c r="G233">
        <v>84.2</v>
      </c>
      <c r="H233">
        <v>11.289999961853027</v>
      </c>
      <c r="I233">
        <v>11.560000419616699</v>
      </c>
      <c r="J233">
        <v>5.440000057220459</v>
      </c>
      <c r="K233">
        <v>5.4250001907348633</v>
      </c>
      <c r="L233">
        <v>111.16000366210938</v>
      </c>
      <c r="M233">
        <v>22.99</v>
      </c>
      <c r="N233">
        <v>35.14</v>
      </c>
      <c r="O233">
        <v>82.185997009277344</v>
      </c>
    </row>
    <row r="234" spans="1:20" x14ac:dyDescent="0.25">
      <c r="A234" s="11">
        <v>45069</v>
      </c>
      <c r="B234">
        <v>74.470001220703125</v>
      </c>
      <c r="C234">
        <v>435.04998779296881</v>
      </c>
      <c r="D234">
        <v>24.760000228881839</v>
      </c>
      <c r="E234">
        <v>170.33999633789063</v>
      </c>
      <c r="F234">
        <v>225.24</v>
      </c>
      <c r="G234">
        <v>82.7</v>
      </c>
      <c r="H234">
        <v>11.289999961853027</v>
      </c>
      <c r="I234">
        <v>11.560000419616699</v>
      </c>
      <c r="J234">
        <v>5.4608001708984375</v>
      </c>
      <c r="K234">
        <v>5.4149999618530273</v>
      </c>
      <c r="L234">
        <v>111.11499786376952</v>
      </c>
      <c r="M234">
        <v>22.97</v>
      </c>
      <c r="N234">
        <v>35.18</v>
      </c>
      <c r="O234">
        <v>82.325996398925781</v>
      </c>
    </row>
    <row r="235" spans="1:20" x14ac:dyDescent="0.25">
      <c r="A235" s="11">
        <v>45070</v>
      </c>
      <c r="B235">
        <v>73.769996643066406</v>
      </c>
      <c r="C235">
        <v>428.25</v>
      </c>
      <c r="D235">
        <v>24.450000762939453</v>
      </c>
      <c r="E235">
        <v>167.83999633789063</v>
      </c>
      <c r="F235">
        <v>221.04</v>
      </c>
      <c r="G235">
        <v>81.73</v>
      </c>
      <c r="H235">
        <v>11.279999732971191</v>
      </c>
      <c r="I235">
        <v>11.539999961853027</v>
      </c>
      <c r="J235">
        <v>5.4521999359130859</v>
      </c>
      <c r="K235">
        <v>5.4180002212524414</v>
      </c>
      <c r="L235">
        <v>111.11499786376952</v>
      </c>
      <c r="M235">
        <v>22.9</v>
      </c>
      <c r="N235">
        <v>35.15</v>
      </c>
      <c r="O235">
        <v>81.753997802734375</v>
      </c>
    </row>
    <row r="236" spans="1:20" x14ac:dyDescent="0.25">
      <c r="A236" s="11">
        <v>45071</v>
      </c>
      <c r="B236">
        <v>74.150001525878906</v>
      </c>
      <c r="C236">
        <v>430.45001220703131</v>
      </c>
      <c r="D236">
        <v>24.399999618530277</v>
      </c>
      <c r="E236">
        <v>168.47999572753906</v>
      </c>
      <c r="F236">
        <v>220.53</v>
      </c>
      <c r="G236">
        <v>82.25</v>
      </c>
      <c r="H236">
        <v>11.25</v>
      </c>
      <c r="I236">
        <v>11.510000228881836</v>
      </c>
      <c r="J236">
        <v>5.4600000381469727</v>
      </c>
      <c r="K236">
        <v>5.4000000953674316</v>
      </c>
      <c r="L236">
        <v>110.83999633789063</v>
      </c>
      <c r="M236">
        <v>22.88</v>
      </c>
      <c r="N236">
        <v>35.090000000000003</v>
      </c>
      <c r="O236">
        <v>82.110000610351563</v>
      </c>
    </row>
    <row r="237" spans="1:20" x14ac:dyDescent="0.25">
      <c r="A237" s="11">
        <v>45072</v>
      </c>
      <c r="B237">
        <v>75.480003356933594</v>
      </c>
      <c r="C237">
        <v>436.04998779296881</v>
      </c>
      <c r="D237">
        <v>24.510000228881839</v>
      </c>
      <c r="E237">
        <v>170.82000732421875</v>
      </c>
      <c r="F237">
        <v>223.24</v>
      </c>
      <c r="G237">
        <v>83.23</v>
      </c>
      <c r="H237">
        <v>11.25</v>
      </c>
      <c r="I237">
        <v>11.510000228881836</v>
      </c>
      <c r="J237">
        <v>5.3499999046325684</v>
      </c>
      <c r="K237">
        <v>5.3920001983642578</v>
      </c>
      <c r="L237">
        <v>110.8000030517578</v>
      </c>
      <c r="M237">
        <v>22.91</v>
      </c>
      <c r="N237">
        <v>35.020000000000003</v>
      </c>
      <c r="O237">
        <v>82.494003295898438</v>
      </c>
    </row>
    <row r="238" spans="1:20" x14ac:dyDescent="0.25">
      <c r="A238" s="11">
        <v>45075</v>
      </c>
      <c r="E238">
        <v>171.05999755859375</v>
      </c>
      <c r="O238">
        <v>82.744003295898438</v>
      </c>
    </row>
    <row r="239" spans="1:20" x14ac:dyDescent="0.25">
      <c r="A239" s="11">
        <v>45076</v>
      </c>
      <c r="B239">
        <v>75.220001220703125</v>
      </c>
      <c r="C239">
        <v>437.54998779296881</v>
      </c>
      <c r="D239">
        <v>24.450000762939453</v>
      </c>
      <c r="E239">
        <v>170.27999877929688</v>
      </c>
      <c r="F239">
        <v>223.24</v>
      </c>
      <c r="G239">
        <v>82.36</v>
      </c>
      <c r="H239">
        <v>11.279999732971191</v>
      </c>
      <c r="I239">
        <v>11.550000190734863</v>
      </c>
      <c r="J239">
        <v>5.4739999771118164</v>
      </c>
      <c r="K239">
        <v>5.4510002136230469</v>
      </c>
      <c r="L239">
        <v>110.80999755859376</v>
      </c>
      <c r="M239">
        <v>22.97</v>
      </c>
      <c r="N239">
        <v>35.119999999999997</v>
      </c>
      <c r="O239">
        <v>82.706001281738281</v>
      </c>
    </row>
    <row r="240" spans="1:20" x14ac:dyDescent="0.25">
      <c r="A240" s="11">
        <v>45077</v>
      </c>
      <c r="B240">
        <v>74.860000610351563</v>
      </c>
      <c r="C240">
        <v>434.29998779296881</v>
      </c>
      <c r="D240">
        <v>24.350000381469727</v>
      </c>
      <c r="E240">
        <v>169.32000732421875</v>
      </c>
      <c r="F240">
        <v>220.31</v>
      </c>
      <c r="G240">
        <v>82.15</v>
      </c>
      <c r="H240">
        <v>11.289999961853027</v>
      </c>
      <c r="I240">
        <v>11.560000419616699</v>
      </c>
      <c r="J240">
        <v>5.4499998092651367</v>
      </c>
      <c r="K240">
        <v>5.4549999237060547</v>
      </c>
      <c r="L240">
        <v>110.99500274658205</v>
      </c>
      <c r="M240">
        <v>22.95</v>
      </c>
      <c r="N240">
        <v>35.119999999999997</v>
      </c>
      <c r="O240">
        <v>82.928001403808594</v>
      </c>
      <c r="Q240">
        <v>1.6059206179132772</v>
      </c>
      <c r="R240">
        <v>1.1978916085761575</v>
      </c>
      <c r="S240">
        <v>1.1544248845624097</v>
      </c>
      <c r="T240">
        <v>1</v>
      </c>
    </row>
    <row r="241" spans="1:15" x14ac:dyDescent="0.25">
      <c r="A241" s="11">
        <v>45078</v>
      </c>
      <c r="B241">
        <v>75.769996643066406</v>
      </c>
      <c r="C241">
        <v>437.95001220703131</v>
      </c>
      <c r="D241">
        <v>24.379999160766602</v>
      </c>
      <c r="E241">
        <v>170.13999938964844</v>
      </c>
      <c r="F241">
        <v>221.24</v>
      </c>
      <c r="G241">
        <v>83.02</v>
      </c>
      <c r="H241">
        <v>11.300000190734863</v>
      </c>
      <c r="I241">
        <v>11.579999923706056</v>
      </c>
      <c r="J241">
        <v>5.4899997711181641</v>
      </c>
      <c r="K241">
        <v>5.4869999885559082</v>
      </c>
      <c r="L241">
        <v>111.14499664306641</v>
      </c>
      <c r="M241">
        <v>23.01</v>
      </c>
      <c r="N241">
        <v>35.06</v>
      </c>
      <c r="O241">
        <v>82.823997497558594</v>
      </c>
    </row>
    <row r="242" spans="1:15" x14ac:dyDescent="0.25">
      <c r="A242" s="11">
        <v>45079</v>
      </c>
      <c r="B242">
        <v>77.010002136230469</v>
      </c>
      <c r="C242">
        <v>445.20001220703131</v>
      </c>
      <c r="D242">
        <v>25.059999465942383</v>
      </c>
      <c r="E242">
        <v>173.41999816894531</v>
      </c>
      <c r="F242">
        <v>224.97</v>
      </c>
      <c r="G242">
        <v>84.05</v>
      </c>
      <c r="H242">
        <v>11.279999732971191</v>
      </c>
      <c r="I242">
        <v>11.569999694824221</v>
      </c>
      <c r="J242">
        <v>5.4426999092102051</v>
      </c>
      <c r="K242">
        <v>5.4809999465942383</v>
      </c>
      <c r="L242">
        <v>111.08499908447266</v>
      </c>
      <c r="M242">
        <v>23.1</v>
      </c>
      <c r="N242">
        <v>35.15</v>
      </c>
      <c r="O242">
        <v>83.503997802734375</v>
      </c>
    </row>
    <row r="243" spans="1:15" x14ac:dyDescent="0.25">
      <c r="A243" s="11">
        <v>45082</v>
      </c>
      <c r="B243">
        <v>76.760002136230469</v>
      </c>
      <c r="C243">
        <v>446.60000610351563</v>
      </c>
      <c r="E243">
        <v>173.86000061035156</v>
      </c>
      <c r="F243">
        <v>225.21</v>
      </c>
      <c r="G243">
        <v>84.02</v>
      </c>
      <c r="J243">
        <v>5.4572000503540039</v>
      </c>
      <c r="K243">
        <v>5.4670000076293945</v>
      </c>
      <c r="L243">
        <v>110.93000030517578</v>
      </c>
      <c r="M243">
        <v>23.11</v>
      </c>
      <c r="N243">
        <v>35.25</v>
      </c>
      <c r="O243">
        <v>83.641998291015625</v>
      </c>
    </row>
    <row r="244" spans="1:15" x14ac:dyDescent="0.25">
      <c r="A244" s="11">
        <v>45083</v>
      </c>
      <c r="B244">
        <v>77.300003051757813</v>
      </c>
      <c r="C244">
        <v>445.14999389648438</v>
      </c>
      <c r="D244">
        <v>25.190000534057617</v>
      </c>
      <c r="E244">
        <v>174.55999755859375</v>
      </c>
      <c r="F244">
        <v>224.84</v>
      </c>
      <c r="G244">
        <v>84.41</v>
      </c>
      <c r="H244">
        <v>11.279999732971191</v>
      </c>
      <c r="I244">
        <v>11.579999923706056</v>
      </c>
      <c r="J244">
        <v>5.4597997665405273</v>
      </c>
      <c r="K244">
        <v>5.4590001106262207</v>
      </c>
      <c r="L244">
        <v>111.00499725341795</v>
      </c>
      <c r="M244">
        <v>23.12</v>
      </c>
      <c r="N244">
        <v>35.22</v>
      </c>
      <c r="O244">
        <v>83.6719970703125</v>
      </c>
    </row>
    <row r="245" spans="1:15" x14ac:dyDescent="0.25">
      <c r="A245" s="11">
        <v>45084</v>
      </c>
      <c r="B245">
        <v>76.80999755859375</v>
      </c>
      <c r="C245">
        <v>445.60000610351563</v>
      </c>
      <c r="D245">
        <v>25.540000915527344</v>
      </c>
      <c r="E245">
        <v>174.5</v>
      </c>
      <c r="F245">
        <v>224.97</v>
      </c>
      <c r="G245">
        <v>83.43</v>
      </c>
      <c r="H245">
        <v>11.279999732971191</v>
      </c>
      <c r="I245">
        <v>11.569999694824221</v>
      </c>
      <c r="J245">
        <v>5.4460000991821289</v>
      </c>
      <c r="K245">
        <v>5.435999870300293</v>
      </c>
      <c r="L245">
        <v>110.75</v>
      </c>
      <c r="M245">
        <v>23.12</v>
      </c>
      <c r="N245">
        <v>35.270000000000003</v>
      </c>
      <c r="O245">
        <v>83.472000122070313</v>
      </c>
    </row>
    <row r="246" spans="1:15" x14ac:dyDescent="0.25">
      <c r="A246" s="11">
        <v>45085</v>
      </c>
      <c r="B246">
        <v>77.290000915527344</v>
      </c>
      <c r="C246">
        <v>446</v>
      </c>
      <c r="D246">
        <v>25.399999618530277</v>
      </c>
      <c r="E246">
        <v>173.5</v>
      </c>
      <c r="F246">
        <v>223.89</v>
      </c>
      <c r="G246">
        <v>83.6</v>
      </c>
      <c r="H246">
        <v>11.289999961853027</v>
      </c>
      <c r="I246">
        <v>11.579999923706056</v>
      </c>
      <c r="J246">
        <v>5.4366002082824707</v>
      </c>
      <c r="K246">
        <v>5.4439997673034668</v>
      </c>
      <c r="L246">
        <v>110.95999908447266</v>
      </c>
      <c r="M246">
        <v>23.15</v>
      </c>
      <c r="N246">
        <v>35.25</v>
      </c>
      <c r="O246">
        <v>82.986000061035156</v>
      </c>
    </row>
    <row r="247" spans="1:15" x14ac:dyDescent="0.25">
      <c r="A247" s="11">
        <v>45086</v>
      </c>
      <c r="B247">
        <v>77.5</v>
      </c>
      <c r="C247">
        <v>447.45001220703131</v>
      </c>
      <c r="D247">
        <v>25.409999847412109</v>
      </c>
      <c r="E247">
        <v>174.44000244140625</v>
      </c>
      <c r="F247">
        <v>224.37</v>
      </c>
      <c r="G247">
        <v>83.58</v>
      </c>
      <c r="H247">
        <v>11.270000457763672</v>
      </c>
      <c r="I247">
        <v>11.569999694824221</v>
      </c>
      <c r="J247">
        <v>5.4527997970581055</v>
      </c>
      <c r="K247">
        <v>5.4460000991821289</v>
      </c>
      <c r="L247">
        <v>110.83499908447266</v>
      </c>
      <c r="M247">
        <v>23.18</v>
      </c>
      <c r="N247">
        <v>35.28</v>
      </c>
      <c r="O247">
        <v>83.391998291015625</v>
      </c>
    </row>
    <row r="248" spans="1:15" x14ac:dyDescent="0.25">
      <c r="A248" s="11">
        <v>45089</v>
      </c>
      <c r="B248">
        <v>78.330001831054688</v>
      </c>
      <c r="C248">
        <v>448.75</v>
      </c>
      <c r="D248">
        <v>25.430000305175781</v>
      </c>
      <c r="E248">
        <v>175</v>
      </c>
      <c r="F248">
        <v>224.3</v>
      </c>
      <c r="G248">
        <v>84.25</v>
      </c>
      <c r="H248">
        <v>11.279999732971191</v>
      </c>
      <c r="I248">
        <v>11.590000152587891</v>
      </c>
      <c r="J248">
        <v>5.4422001838684082</v>
      </c>
      <c r="K248">
        <v>5.4345002174377441</v>
      </c>
      <c r="L248">
        <v>110.79499816894533</v>
      </c>
      <c r="M248">
        <v>23.15</v>
      </c>
      <c r="N248">
        <v>35.340000000000003</v>
      </c>
      <c r="O248">
        <v>83.185997009277344</v>
      </c>
    </row>
    <row r="249" spans="1:15" x14ac:dyDescent="0.25">
      <c r="A249" s="11">
        <v>45090</v>
      </c>
      <c r="B249">
        <v>78.910003662109375</v>
      </c>
      <c r="C249">
        <v>454.85000610351563</v>
      </c>
      <c r="D249">
        <v>25.649999618530277</v>
      </c>
      <c r="E249">
        <v>176.47999572753906</v>
      </c>
      <c r="F249">
        <v>226.47</v>
      </c>
      <c r="G249">
        <v>84.83</v>
      </c>
      <c r="H249">
        <v>11.260000228881836</v>
      </c>
      <c r="I249">
        <v>11.579999923706056</v>
      </c>
      <c r="J249">
        <v>5.4520001411437988</v>
      </c>
      <c r="K249">
        <v>5.4499998092651367</v>
      </c>
      <c r="L249">
        <v>110.77999877929688</v>
      </c>
      <c r="M249">
        <v>23.22</v>
      </c>
      <c r="N249">
        <v>35.369999999999997</v>
      </c>
      <c r="O249">
        <v>83.132003784179688</v>
      </c>
    </row>
    <row r="250" spans="1:15" x14ac:dyDescent="0.25">
      <c r="A250" s="11">
        <v>45091</v>
      </c>
      <c r="B250">
        <v>79.139999389648438</v>
      </c>
      <c r="C250">
        <v>456.89999389648438</v>
      </c>
      <c r="D250">
        <v>25.600000381469727</v>
      </c>
      <c r="E250">
        <v>176.53999328613281</v>
      </c>
      <c r="F250">
        <v>227.92</v>
      </c>
      <c r="G250">
        <v>85.09</v>
      </c>
      <c r="H250">
        <v>11.260000228881836</v>
      </c>
      <c r="I250">
        <v>11.579999923706056</v>
      </c>
      <c r="J250">
        <v>5.4605998992919922</v>
      </c>
      <c r="K250">
        <v>5.4604997634887695</v>
      </c>
      <c r="L250">
        <v>110.89499664306641</v>
      </c>
      <c r="M250">
        <v>23.23</v>
      </c>
      <c r="N250">
        <v>35.4</v>
      </c>
      <c r="O250">
        <v>82.758003234863281</v>
      </c>
    </row>
    <row r="251" spans="1:15" x14ac:dyDescent="0.25">
      <c r="A251" s="11">
        <v>45092</v>
      </c>
      <c r="B251">
        <v>80.160003662109375</v>
      </c>
      <c r="C251">
        <v>459.20001220703131</v>
      </c>
      <c r="D251">
        <v>25.940000534057617</v>
      </c>
      <c r="E251">
        <v>175.83999633789063</v>
      </c>
      <c r="F251">
        <v>229.46</v>
      </c>
      <c r="G251">
        <v>86.53</v>
      </c>
      <c r="H251">
        <v>11.279999732971191</v>
      </c>
      <c r="I251">
        <v>11.600000381469728</v>
      </c>
      <c r="J251">
        <v>5.4577999114990234</v>
      </c>
      <c r="K251">
        <v>5.4800000190734863</v>
      </c>
      <c r="L251">
        <v>110.625</v>
      </c>
      <c r="M251">
        <v>23.26</v>
      </c>
      <c r="N251">
        <v>35.39</v>
      </c>
      <c r="O251">
        <v>82.255996704101563</v>
      </c>
    </row>
    <row r="252" spans="1:15" x14ac:dyDescent="0.25">
      <c r="A252" s="11">
        <v>45093</v>
      </c>
      <c r="B252">
        <v>79.80999755859375</v>
      </c>
      <c r="C252">
        <v>461.20001220703131</v>
      </c>
      <c r="D252">
        <v>26.040000915527344</v>
      </c>
      <c r="E252">
        <v>176.47999572753906</v>
      </c>
      <c r="F252">
        <v>233.34</v>
      </c>
      <c r="G252">
        <v>86.15</v>
      </c>
      <c r="H252">
        <v>11.270000457763672</v>
      </c>
      <c r="I252">
        <v>11.590000152587891</v>
      </c>
      <c r="J252">
        <v>5.4482002258300781</v>
      </c>
      <c r="K252">
        <v>5.4910001754760742</v>
      </c>
      <c r="L252">
        <v>110.68000030517578</v>
      </c>
      <c r="M252">
        <v>23.22</v>
      </c>
      <c r="N252">
        <v>35.44</v>
      </c>
      <c r="O252">
        <v>82.176002502441406</v>
      </c>
    </row>
    <row r="253" spans="1:15" x14ac:dyDescent="0.25">
      <c r="A253" s="11">
        <v>45096</v>
      </c>
      <c r="C253">
        <v>458.14999389648438</v>
      </c>
      <c r="E253">
        <v>175.58000183105469</v>
      </c>
      <c r="F253">
        <v>231.18</v>
      </c>
      <c r="G253">
        <v>85.96</v>
      </c>
      <c r="K253">
        <v>5.4619998931884766</v>
      </c>
      <c r="L253">
        <v>110.625</v>
      </c>
      <c r="N253">
        <v>35.479999999999997</v>
      </c>
      <c r="O253">
        <v>82.027999877929688</v>
      </c>
    </row>
    <row r="254" spans="1:15" x14ac:dyDescent="0.25">
      <c r="A254" s="11">
        <v>45097</v>
      </c>
      <c r="B254">
        <v>79.19000244140625</v>
      </c>
      <c r="C254">
        <v>456.10000610351563</v>
      </c>
      <c r="D254">
        <v>25.819999694824219</v>
      </c>
      <c r="E254">
        <v>174.60000610351563</v>
      </c>
      <c r="F254">
        <v>230.45</v>
      </c>
      <c r="G254">
        <v>85.31</v>
      </c>
      <c r="H254">
        <v>11.279999732971191</v>
      </c>
      <c r="I254">
        <v>11.600000381469728</v>
      </c>
      <c r="J254">
        <v>5.4767999649047852</v>
      </c>
      <c r="K254">
        <v>5.5089998245239258</v>
      </c>
      <c r="L254">
        <v>110.73999786376952</v>
      </c>
      <c r="M254">
        <v>23.25</v>
      </c>
      <c r="N254">
        <v>35.46</v>
      </c>
      <c r="O254">
        <v>82.239997863769531</v>
      </c>
    </row>
    <row r="255" spans="1:15" x14ac:dyDescent="0.25">
      <c r="A255" s="11">
        <v>45098</v>
      </c>
      <c r="B255">
        <v>78.69000244140625</v>
      </c>
      <c r="C255">
        <v>455.39999389648438</v>
      </c>
      <c r="D255">
        <v>25.700000762939453</v>
      </c>
      <c r="E255">
        <v>173.75999450683594</v>
      </c>
      <c r="F255">
        <v>229.05</v>
      </c>
      <c r="G255">
        <v>84.95</v>
      </c>
      <c r="H255">
        <v>11.279999732971191</v>
      </c>
      <c r="I255">
        <v>11.600000381469728</v>
      </c>
      <c r="J255">
        <v>5.4394998550415039</v>
      </c>
      <c r="K255">
        <v>5.4749999046325684</v>
      </c>
      <c r="L255">
        <v>110.6999969482422</v>
      </c>
      <c r="M255">
        <v>23.21</v>
      </c>
      <c r="N255">
        <v>35.44</v>
      </c>
      <c r="O255">
        <v>81.524002075195313</v>
      </c>
    </row>
    <row r="256" spans="1:15" x14ac:dyDescent="0.25">
      <c r="A256" s="11">
        <v>45099</v>
      </c>
      <c r="B256">
        <v>78.529998779296875</v>
      </c>
      <c r="C256">
        <v>454.5</v>
      </c>
      <c r="D256">
        <v>25.549999237060547</v>
      </c>
      <c r="E256">
        <v>173</v>
      </c>
      <c r="F256">
        <v>229.3</v>
      </c>
      <c r="G256">
        <v>85.07</v>
      </c>
      <c r="H256">
        <v>11.260000228881836</v>
      </c>
      <c r="I256">
        <v>11.579999923706056</v>
      </c>
      <c r="J256">
        <v>5.4369001388549805</v>
      </c>
      <c r="K256">
        <v>5.4809999465942383</v>
      </c>
      <c r="L256">
        <v>110.79499816894533</v>
      </c>
      <c r="M256">
        <v>23.18</v>
      </c>
      <c r="N256">
        <v>35.380000000000003</v>
      </c>
      <c r="O256">
        <v>81.459999084472656</v>
      </c>
    </row>
    <row r="257" spans="1:20" x14ac:dyDescent="0.25">
      <c r="A257" s="11">
        <v>45100</v>
      </c>
      <c r="B257">
        <v>77.919998168945313</v>
      </c>
      <c r="C257">
        <v>453</v>
      </c>
      <c r="D257">
        <v>25.290000915527344</v>
      </c>
      <c r="E257">
        <v>172.80000305175781</v>
      </c>
      <c r="H257">
        <v>11.270000457763672</v>
      </c>
      <c r="I257">
        <v>11.590000152587891</v>
      </c>
      <c r="J257">
        <v>5.4524002075195313</v>
      </c>
      <c r="K257">
        <v>5.4869999885559082</v>
      </c>
      <c r="L257">
        <v>110.69499969482422</v>
      </c>
      <c r="O257">
        <v>81.610000610351563</v>
      </c>
    </row>
    <row r="258" spans="1:20" x14ac:dyDescent="0.25">
      <c r="A258" s="11">
        <v>45103</v>
      </c>
      <c r="B258">
        <v>77.830001831054688</v>
      </c>
      <c r="C258">
        <v>452.29998779296881</v>
      </c>
      <c r="D258">
        <v>25.379999160766602</v>
      </c>
      <c r="E258">
        <v>172.5</v>
      </c>
      <c r="F258">
        <v>227.76</v>
      </c>
      <c r="G258">
        <v>84.21</v>
      </c>
      <c r="H258">
        <v>11.279999732971191</v>
      </c>
      <c r="I258">
        <v>11.600000381469728</v>
      </c>
      <c r="J258">
        <v>5.4541997909545898</v>
      </c>
      <c r="K258">
        <v>5.5085000991821289</v>
      </c>
      <c r="L258">
        <v>110.8249969482422</v>
      </c>
      <c r="M258">
        <v>23.14</v>
      </c>
      <c r="N258">
        <v>35.299999999999997</v>
      </c>
      <c r="O258">
        <v>81.681999206542969</v>
      </c>
    </row>
    <row r="259" spans="1:20" x14ac:dyDescent="0.25">
      <c r="A259" s="11">
        <v>45104</v>
      </c>
      <c r="B259">
        <v>78.739997863769531</v>
      </c>
      <c r="C259">
        <v>453.25</v>
      </c>
      <c r="D259">
        <v>25.860000610351559</v>
      </c>
      <c r="E259">
        <v>172.41999816894531</v>
      </c>
      <c r="F259">
        <v>227.57</v>
      </c>
      <c r="G259">
        <v>85.37</v>
      </c>
      <c r="H259">
        <v>11.260000228881836</v>
      </c>
      <c r="I259">
        <v>11.590000152587891</v>
      </c>
      <c r="J259">
        <v>5.4530000686645508</v>
      </c>
      <c r="K259">
        <v>5.4780001640319824</v>
      </c>
      <c r="L259">
        <v>110.6750030517578</v>
      </c>
      <c r="M259">
        <v>23.17</v>
      </c>
      <c r="N259">
        <v>35.32</v>
      </c>
      <c r="O259">
        <v>81.550003051757813</v>
      </c>
    </row>
    <row r="260" spans="1:20" x14ac:dyDescent="0.25">
      <c r="A260" s="11">
        <v>45105</v>
      </c>
      <c r="B260">
        <v>78.639999389648438</v>
      </c>
      <c r="C260">
        <v>456.5</v>
      </c>
      <c r="D260">
        <v>25.850000381469727</v>
      </c>
      <c r="E260">
        <v>173.74000549316406</v>
      </c>
      <c r="F260">
        <v>228.36</v>
      </c>
      <c r="G260">
        <v>85.47</v>
      </c>
      <c r="H260">
        <v>11.279999732971191</v>
      </c>
      <c r="I260">
        <v>11.609999656677246</v>
      </c>
      <c r="J260">
        <v>5.4443001747131348</v>
      </c>
      <c r="K260">
        <v>5.499000072479248</v>
      </c>
      <c r="L260">
        <v>110.66999816894533</v>
      </c>
      <c r="M260">
        <v>23.23</v>
      </c>
      <c r="N260">
        <v>35.39</v>
      </c>
      <c r="O260">
        <v>82.0260009765625</v>
      </c>
    </row>
    <row r="261" spans="1:20" x14ac:dyDescent="0.25">
      <c r="A261" s="11">
        <v>45106</v>
      </c>
      <c r="B261">
        <v>79.080001831054688</v>
      </c>
      <c r="C261">
        <v>456.79998779296881</v>
      </c>
      <c r="D261">
        <v>26.229999542236328</v>
      </c>
      <c r="E261">
        <v>174.27999877929688</v>
      </c>
      <c r="F261">
        <v>229.16</v>
      </c>
      <c r="G261">
        <v>85.8</v>
      </c>
      <c r="H261">
        <v>11.25</v>
      </c>
      <c r="I261">
        <v>11.590000152587891</v>
      </c>
      <c r="J261">
        <v>5.447199821472168</v>
      </c>
      <c r="K261">
        <v>5.4699997901916504</v>
      </c>
      <c r="L261">
        <v>110.41999816894533</v>
      </c>
      <c r="M261">
        <v>23.21</v>
      </c>
      <c r="N261">
        <v>35.43</v>
      </c>
      <c r="O261">
        <v>82.169998168945313</v>
      </c>
    </row>
    <row r="262" spans="1:20" x14ac:dyDescent="0.25">
      <c r="A262" s="11">
        <v>45107</v>
      </c>
      <c r="B262">
        <v>79.790000915527344</v>
      </c>
      <c r="C262">
        <v>462.85000610351563</v>
      </c>
      <c r="D262">
        <v>26.260000228881839</v>
      </c>
      <c r="E262">
        <v>175.83999633789063</v>
      </c>
      <c r="F262">
        <v>233</v>
      </c>
      <c r="G262">
        <v>86.47</v>
      </c>
      <c r="H262">
        <v>11.260000228881836</v>
      </c>
      <c r="I262">
        <v>11.600000381469728</v>
      </c>
      <c r="J262">
        <v>5.4587998390197754</v>
      </c>
      <c r="K262">
        <v>5.505000114440918</v>
      </c>
      <c r="L262">
        <v>110.375</v>
      </c>
      <c r="M262">
        <v>23.28</v>
      </c>
      <c r="N262">
        <v>35.44</v>
      </c>
      <c r="O262">
        <v>82.370002746582031</v>
      </c>
      <c r="Q262">
        <v>1.6105777877052256</v>
      </c>
      <c r="R262">
        <v>1.2122663078790714</v>
      </c>
      <c r="T26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D5" sqref="D5"/>
    </sheetView>
  </sheetViews>
  <sheetFormatPr defaultRowHeight="15" x14ac:dyDescent="0.25"/>
  <cols>
    <col min="2" max="5" width="15" customWidth="1"/>
  </cols>
  <sheetData>
    <row r="1" spans="1:5" x14ac:dyDescent="0.25">
      <c r="B1" t="s">
        <v>131</v>
      </c>
      <c r="C1" t="s">
        <v>222</v>
      </c>
      <c r="D1" t="s">
        <v>223</v>
      </c>
      <c r="E1" t="s">
        <v>124</v>
      </c>
    </row>
    <row r="2" spans="1:5" x14ac:dyDescent="0.25">
      <c r="A2">
        <v>0</v>
      </c>
      <c r="B2">
        <v>0</v>
      </c>
      <c r="C2" t="s">
        <v>221</v>
      </c>
      <c r="D2" t="s">
        <v>133</v>
      </c>
      <c r="E2">
        <v>1</v>
      </c>
    </row>
    <row r="3" spans="1:5" x14ac:dyDescent="0.25">
      <c r="A3">
        <v>1</v>
      </c>
      <c r="B3">
        <v>1</v>
      </c>
      <c r="C3" t="s">
        <v>221</v>
      </c>
      <c r="D3" t="s">
        <v>134</v>
      </c>
      <c r="E3">
        <v>1</v>
      </c>
    </row>
    <row r="4" spans="1:5" x14ac:dyDescent="0.25">
      <c r="A4">
        <v>2</v>
      </c>
      <c r="B4">
        <v>2</v>
      </c>
      <c r="C4" t="s">
        <v>221</v>
      </c>
      <c r="D4" t="s">
        <v>135</v>
      </c>
      <c r="E4">
        <v>1</v>
      </c>
    </row>
    <row r="5" spans="1:5" x14ac:dyDescent="0.25">
      <c r="A5">
        <v>3</v>
      </c>
      <c r="B5">
        <v>3</v>
      </c>
      <c r="C5" t="s">
        <v>221</v>
      </c>
      <c r="D5" t="s">
        <v>136</v>
      </c>
      <c r="E5">
        <v>1</v>
      </c>
    </row>
    <row r="6" spans="1:5" x14ac:dyDescent="0.25">
      <c r="A6">
        <v>4</v>
      </c>
      <c r="B6">
        <v>4</v>
      </c>
      <c r="C6" t="s">
        <v>221</v>
      </c>
      <c r="D6" t="s">
        <v>137</v>
      </c>
      <c r="E6">
        <v>1</v>
      </c>
    </row>
    <row r="7" spans="1:5" x14ac:dyDescent="0.25">
      <c r="A7">
        <v>5</v>
      </c>
      <c r="B7">
        <v>5</v>
      </c>
      <c r="C7" t="s">
        <v>221</v>
      </c>
      <c r="D7" t="s">
        <v>138</v>
      </c>
      <c r="E7">
        <v>1</v>
      </c>
    </row>
    <row r="8" spans="1:5" x14ac:dyDescent="0.25">
      <c r="A8">
        <v>6</v>
      </c>
      <c r="B8">
        <v>6</v>
      </c>
      <c r="C8" t="s">
        <v>221</v>
      </c>
      <c r="D8" t="s">
        <v>139</v>
      </c>
      <c r="E8">
        <v>1</v>
      </c>
    </row>
    <row r="9" spans="1:5" x14ac:dyDescent="0.25">
      <c r="A9">
        <v>7</v>
      </c>
      <c r="B9">
        <v>7</v>
      </c>
      <c r="C9" t="s">
        <v>221</v>
      </c>
      <c r="D9" t="s">
        <v>140</v>
      </c>
      <c r="E9">
        <v>1</v>
      </c>
    </row>
    <row r="10" spans="1:5" x14ac:dyDescent="0.25">
      <c r="A10">
        <v>8</v>
      </c>
      <c r="B10">
        <v>8</v>
      </c>
      <c r="C10" t="s">
        <v>221</v>
      </c>
      <c r="D10" t="s">
        <v>141</v>
      </c>
      <c r="E10">
        <v>1</v>
      </c>
    </row>
    <row r="11" spans="1:5" x14ac:dyDescent="0.25">
      <c r="A11">
        <v>9</v>
      </c>
      <c r="B11">
        <v>9</v>
      </c>
      <c r="C11" t="s">
        <v>221</v>
      </c>
      <c r="D11" t="s">
        <v>142</v>
      </c>
      <c r="E11">
        <v>1</v>
      </c>
    </row>
    <row r="12" spans="1:5" x14ac:dyDescent="0.25">
      <c r="A12">
        <v>10</v>
      </c>
      <c r="B12">
        <v>10</v>
      </c>
      <c r="C12" t="s">
        <v>221</v>
      </c>
      <c r="D12" t="s">
        <v>143</v>
      </c>
      <c r="E12">
        <v>1</v>
      </c>
    </row>
    <row r="13" spans="1:5" x14ac:dyDescent="0.25">
      <c r="A13">
        <v>11</v>
      </c>
      <c r="B13">
        <v>11</v>
      </c>
      <c r="C13" t="s">
        <v>221</v>
      </c>
      <c r="D13" t="s">
        <v>144</v>
      </c>
      <c r="E13">
        <v>1</v>
      </c>
    </row>
    <row r="14" spans="1:5" x14ac:dyDescent="0.25">
      <c r="A14">
        <v>12</v>
      </c>
      <c r="B14">
        <v>12</v>
      </c>
      <c r="C14" t="s">
        <v>221</v>
      </c>
      <c r="D14" t="s">
        <v>145</v>
      </c>
      <c r="E14">
        <v>1</v>
      </c>
    </row>
    <row r="15" spans="1:5" x14ac:dyDescent="0.25">
      <c r="A15">
        <v>13</v>
      </c>
      <c r="B15">
        <v>13</v>
      </c>
      <c r="C15" t="s">
        <v>221</v>
      </c>
      <c r="D15" t="s">
        <v>146</v>
      </c>
      <c r="E15">
        <v>1</v>
      </c>
    </row>
    <row r="16" spans="1:5" x14ac:dyDescent="0.25">
      <c r="A16">
        <v>14</v>
      </c>
      <c r="B16">
        <v>14</v>
      </c>
      <c r="C16" t="s">
        <v>221</v>
      </c>
      <c r="D16" t="s">
        <v>147</v>
      </c>
      <c r="E16">
        <v>1</v>
      </c>
    </row>
    <row r="17" spans="1:5" x14ac:dyDescent="0.25">
      <c r="A17">
        <v>15</v>
      </c>
      <c r="B17">
        <v>15</v>
      </c>
      <c r="C17" t="s">
        <v>221</v>
      </c>
      <c r="D17" t="s">
        <v>148</v>
      </c>
      <c r="E17">
        <v>1</v>
      </c>
    </row>
    <row r="18" spans="1:5" x14ac:dyDescent="0.25">
      <c r="A18">
        <v>16</v>
      </c>
      <c r="B18">
        <v>16</v>
      </c>
      <c r="C18" t="s">
        <v>221</v>
      </c>
      <c r="D18" t="s">
        <v>149</v>
      </c>
      <c r="E18">
        <v>1</v>
      </c>
    </row>
    <row r="19" spans="1:5" x14ac:dyDescent="0.25">
      <c r="A19">
        <v>17</v>
      </c>
      <c r="B19">
        <v>17</v>
      </c>
      <c r="C19" t="s">
        <v>221</v>
      </c>
      <c r="D19" t="s">
        <v>150</v>
      </c>
      <c r="E19">
        <v>1</v>
      </c>
    </row>
    <row r="20" spans="1:5" x14ac:dyDescent="0.25">
      <c r="A20">
        <v>18</v>
      </c>
      <c r="B20">
        <v>18</v>
      </c>
      <c r="C20" t="s">
        <v>221</v>
      </c>
      <c r="D20" t="s">
        <v>151</v>
      </c>
      <c r="E20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selection activeCell="D1" sqref="D1"/>
    </sheetView>
  </sheetViews>
  <sheetFormatPr defaultRowHeight="15" x14ac:dyDescent="0.25"/>
  <cols>
    <col min="2" max="2" width="14.85546875" customWidth="1"/>
    <col min="3" max="3" width="16.85546875" customWidth="1"/>
    <col min="4" max="4" width="15.7109375" customWidth="1"/>
    <col min="5" max="5" width="13.140625" bestFit="1" customWidth="1"/>
    <col min="6" max="7" width="12" bestFit="1" customWidth="1"/>
    <col min="8" max="8" width="13.28515625" bestFit="1" customWidth="1"/>
    <col min="9" max="9" width="14" bestFit="1" customWidth="1"/>
  </cols>
  <sheetData>
    <row r="1" spans="1:9" x14ac:dyDescent="0.25">
      <c r="A1" t="s">
        <v>131</v>
      </c>
      <c r="B1" t="s">
        <v>224</v>
      </c>
      <c r="C1" t="s">
        <v>225</v>
      </c>
      <c r="D1" t="s">
        <v>226</v>
      </c>
      <c r="E1" t="s">
        <v>227</v>
      </c>
      <c r="F1" t="s">
        <v>228</v>
      </c>
      <c r="G1" t="s">
        <v>229</v>
      </c>
      <c r="H1" t="s">
        <v>230</v>
      </c>
    </row>
    <row r="2" spans="1:9" x14ac:dyDescent="0.25">
      <c r="A2">
        <v>0</v>
      </c>
      <c r="B2" s="24">
        <v>26523.413664541506</v>
      </c>
      <c r="C2" s="24">
        <v>16929.176111732486</v>
      </c>
      <c r="D2" s="24">
        <v>11769.655245852207</v>
      </c>
      <c r="E2" s="24">
        <v>26523.413664541506</v>
      </c>
      <c r="F2" s="24">
        <v>40887.232585112732</v>
      </c>
      <c r="G2" s="24">
        <v>25745.897966835535</v>
      </c>
      <c r="H2" s="24">
        <v>29299.782663123307</v>
      </c>
      <c r="I2" s="24"/>
    </row>
    <row r="3" spans="1:9" x14ac:dyDescent="0.25">
      <c r="A3">
        <v>1</v>
      </c>
      <c r="B3" s="24">
        <v>22934.924807762978</v>
      </c>
      <c r="C3" s="24">
        <v>14502.602491944228</v>
      </c>
      <c r="D3" s="24">
        <v>10030.950058963139</v>
      </c>
      <c r="E3" s="24">
        <v>22934.924807762978</v>
      </c>
      <c r="F3" s="24">
        <v>35233.993758843651</v>
      </c>
      <c r="G3" s="24">
        <v>8910.60594846391</v>
      </c>
      <c r="H3" s="24">
        <v>24004.010132159161</v>
      </c>
      <c r="I3" s="24"/>
    </row>
    <row r="4" spans="1:9" x14ac:dyDescent="0.25">
      <c r="A4">
        <v>2</v>
      </c>
      <c r="B4" s="24">
        <v>18691.526795998143</v>
      </c>
      <c r="C4" s="24">
        <v>12599.535099647574</v>
      </c>
      <c r="D4" s="24">
        <v>8337.0634600973808</v>
      </c>
      <c r="E4" s="24">
        <v>18691.526795998143</v>
      </c>
      <c r="F4" s="24">
        <v>28212.357965615669</v>
      </c>
      <c r="G4" s="24">
        <v>14374.044850729693</v>
      </c>
      <c r="H4" s="24">
        <v>19774.855452841457</v>
      </c>
      <c r="I4" s="24"/>
    </row>
    <row r="5" spans="1:9" x14ac:dyDescent="0.25">
      <c r="A5">
        <v>3</v>
      </c>
      <c r="B5" s="24">
        <v>16511.418952110565</v>
      </c>
      <c r="C5" s="24">
        <v>10376.257843914624</v>
      </c>
      <c r="D5" s="24">
        <v>6819.3796352313211</v>
      </c>
      <c r="E5" s="24">
        <v>16511.418952110565</v>
      </c>
      <c r="F5" s="24">
        <v>26210.836712321576</v>
      </c>
      <c r="G5" s="24">
        <v>6823.9960995232022</v>
      </c>
      <c r="H5" s="24">
        <v>17120.648913376011</v>
      </c>
      <c r="I5" s="24"/>
    </row>
    <row r="6" spans="1:9" x14ac:dyDescent="0.25">
      <c r="A6">
        <v>4</v>
      </c>
      <c r="B6" s="24">
        <v>15817.462758282174</v>
      </c>
      <c r="C6" s="24">
        <v>10231.060902260253</v>
      </c>
      <c r="D6" s="24">
        <v>5999.5421354047567</v>
      </c>
      <c r="E6" s="24">
        <v>15817.462758282174</v>
      </c>
      <c r="F6" s="24">
        <v>24300.149821959487</v>
      </c>
      <c r="G6" s="24">
        <v>1942.698000415277</v>
      </c>
      <c r="H6" s="24">
        <v>13936.378554650286</v>
      </c>
      <c r="I6" s="24"/>
    </row>
    <row r="7" spans="1:9" x14ac:dyDescent="0.25">
      <c r="A7">
        <v>5</v>
      </c>
      <c r="B7" s="24">
        <v>16601.590174721117</v>
      </c>
      <c r="C7" s="24">
        <v>11667.887601397033</v>
      </c>
      <c r="D7" s="24">
        <v>8319.4053141232653</v>
      </c>
      <c r="E7" s="24">
        <v>16601.590174721117</v>
      </c>
      <c r="F7" s="24">
        <v>27668.060418603898</v>
      </c>
      <c r="G7" s="24">
        <v>17587.6726712895</v>
      </c>
      <c r="H7" s="24">
        <v>20402.669063580706</v>
      </c>
      <c r="I7" s="24"/>
    </row>
    <row r="8" spans="1:9" x14ac:dyDescent="0.25">
      <c r="A8">
        <v>6</v>
      </c>
      <c r="B8" s="24">
        <v>14800.950904774052</v>
      </c>
      <c r="C8" s="24">
        <v>9555.8885786966803</v>
      </c>
      <c r="D8" s="24">
        <v>4700.4863261601949</v>
      </c>
      <c r="E8" s="24">
        <v>14800.950904774052</v>
      </c>
      <c r="F8" s="24">
        <v>23721.999102934002</v>
      </c>
      <c r="G8" s="24">
        <v>7005.713490839832</v>
      </c>
      <c r="H8" s="24">
        <v>10852.987836960674</v>
      </c>
      <c r="I8" s="24"/>
    </row>
    <row r="9" spans="1:9" x14ac:dyDescent="0.25">
      <c r="A9">
        <v>7</v>
      </c>
      <c r="B9" s="24">
        <v>16655.20625996136</v>
      </c>
      <c r="C9" s="24">
        <v>11237.327952759293</v>
      </c>
      <c r="D9" s="24">
        <v>6943.8045156118787</v>
      </c>
      <c r="E9" s="24">
        <v>16655.20625996136</v>
      </c>
      <c r="F9" s="24">
        <v>27682.467416303276</v>
      </c>
      <c r="G9" s="24">
        <v>5473.3867824939516</v>
      </c>
      <c r="H9" s="24">
        <v>15972.469514846231</v>
      </c>
      <c r="I9" s="24"/>
    </row>
    <row r="10" spans="1:9" x14ac:dyDescent="0.25">
      <c r="A10">
        <v>8</v>
      </c>
      <c r="B10" s="24">
        <v>22597.81089365701</v>
      </c>
      <c r="C10" s="24">
        <v>26631.333352268524</v>
      </c>
      <c r="D10" s="24">
        <v>17401.617799222549</v>
      </c>
      <c r="E10" s="24">
        <v>22597.81089365701</v>
      </c>
      <c r="F10" s="24">
        <v>50705.548181446822</v>
      </c>
      <c r="G10" s="24">
        <v>11710.838830707778</v>
      </c>
      <c r="H10" s="24">
        <v>34683.294708689915</v>
      </c>
      <c r="I10" s="24"/>
    </row>
    <row r="11" spans="1:9" x14ac:dyDescent="0.25">
      <c r="A11">
        <v>9</v>
      </c>
      <c r="B11" s="24">
        <v>73974.078260912254</v>
      </c>
      <c r="C11" s="24">
        <v>62889.700156376064</v>
      </c>
      <c r="D11" s="24">
        <v>53177.77661830384</v>
      </c>
      <c r="E11" s="24">
        <v>73974.078260912254</v>
      </c>
      <c r="F11" s="24">
        <v>144669.7661095004</v>
      </c>
      <c r="G11" s="24">
        <v>57767.507886334562</v>
      </c>
      <c r="H11" s="24">
        <v>121202.89972824728</v>
      </c>
      <c r="I11" s="24"/>
    </row>
    <row r="12" spans="1:9" x14ac:dyDescent="0.25">
      <c r="A12">
        <v>10</v>
      </c>
      <c r="B12" s="24">
        <v>7633.4998094472858</v>
      </c>
      <c r="C12" s="24">
        <v>4338.9771658084364</v>
      </c>
      <c r="D12" s="24">
        <v>936.74237322715646</v>
      </c>
      <c r="E12" s="24">
        <v>7633.4998094472858</v>
      </c>
      <c r="F12" s="24">
        <v>11024.756265172784</v>
      </c>
      <c r="G12" s="24">
        <v>2521.0833619150426</v>
      </c>
      <c r="H12" s="24">
        <v>2810.82491267661</v>
      </c>
      <c r="I12" s="24"/>
    </row>
    <row r="13" spans="1:9" x14ac:dyDescent="0.25">
      <c r="A13">
        <v>11</v>
      </c>
      <c r="B13" s="24">
        <v>4870.2261602717508</v>
      </c>
      <c r="C13" s="24">
        <v>3518.6988256002833</v>
      </c>
      <c r="D13" s="24">
        <v>2401.6658575304259</v>
      </c>
      <c r="E13" s="24">
        <v>4870.2261602717508</v>
      </c>
      <c r="F13" s="24">
        <v>8400.1885088812269</v>
      </c>
      <c r="G13" s="24">
        <v>2680.0515392963866</v>
      </c>
      <c r="H13" s="24">
        <v>5651.7756203818817</v>
      </c>
      <c r="I13" s="24"/>
    </row>
    <row r="14" spans="1:9" x14ac:dyDescent="0.25">
      <c r="A14">
        <v>12</v>
      </c>
      <c r="B14" s="24">
        <v>4640.3870123829365</v>
      </c>
      <c r="C14" s="24">
        <v>4279.6905233931202</v>
      </c>
      <c r="D14" s="24">
        <v>978.05182130689036</v>
      </c>
      <c r="E14" s="24">
        <v>4640.3870123829365</v>
      </c>
      <c r="F14" s="24">
        <v>10297.276277790834</v>
      </c>
      <c r="G14" s="24">
        <v>-559.49509205702884</v>
      </c>
      <c r="H14" s="24">
        <v>2828.1694156830076</v>
      </c>
      <c r="I14" s="24"/>
    </row>
    <row r="15" spans="1:9" x14ac:dyDescent="0.25">
      <c r="A15">
        <v>13</v>
      </c>
      <c r="B15" s="24">
        <v>8205.7548635314324</v>
      </c>
      <c r="C15" s="24">
        <v>6366.7736490920097</v>
      </c>
      <c r="D15" s="24">
        <v>3561.2982300909666</v>
      </c>
      <c r="E15" s="24">
        <v>8205.7548635314324</v>
      </c>
      <c r="F15" s="24">
        <v>16556.948119390509</v>
      </c>
      <c r="G15" s="24">
        <v>4086.3382328295888</v>
      </c>
      <c r="H15" s="24">
        <v>9683.3564676886926</v>
      </c>
      <c r="I15" s="24"/>
    </row>
    <row r="16" spans="1:9" x14ac:dyDescent="0.25">
      <c r="A16">
        <v>14</v>
      </c>
      <c r="B16" s="24">
        <v>8563.1218732481138</v>
      </c>
      <c r="C16" s="24">
        <v>5565.7499770256309</v>
      </c>
      <c r="D16" s="24">
        <v>2234.4905076951645</v>
      </c>
      <c r="E16" s="24">
        <v>8563.1218732481138</v>
      </c>
      <c r="F16" s="24">
        <v>11845.315699209101</v>
      </c>
      <c r="G16" s="24">
        <v>7875.7495150310933</v>
      </c>
      <c r="H16" s="24">
        <v>5716.409548967209</v>
      </c>
      <c r="I16" s="24"/>
    </row>
    <row r="17" spans="1:9" x14ac:dyDescent="0.25">
      <c r="A17">
        <v>15</v>
      </c>
      <c r="B17" s="24">
        <v>3698.717159273755</v>
      </c>
      <c r="C17" s="24">
        <v>2379.6631755084168</v>
      </c>
      <c r="D17" s="24">
        <v>763.03659992001462</v>
      </c>
      <c r="E17" s="24">
        <v>3698.717159273755</v>
      </c>
      <c r="F17" s="24">
        <v>5170.483823380644</v>
      </c>
      <c r="G17" s="24">
        <v>1213.0995085752925</v>
      </c>
      <c r="H17" s="24">
        <v>2148.1134404366121</v>
      </c>
      <c r="I17" s="24"/>
    </row>
    <row r="18" spans="1:9" x14ac:dyDescent="0.25">
      <c r="A18">
        <v>16</v>
      </c>
      <c r="B18" s="24">
        <v>3960.3022131049079</v>
      </c>
      <c r="C18" s="24">
        <v>3074.7475577137402</v>
      </c>
      <c r="D18" s="24">
        <v>1695.6105843053676</v>
      </c>
      <c r="E18" s="24">
        <v>3960.3022131049079</v>
      </c>
      <c r="F18" s="24">
        <v>7399.3003223037995</v>
      </c>
      <c r="G18" s="24">
        <v>2611.6105223261652</v>
      </c>
      <c r="H18" s="24">
        <v>4454.3788393332106</v>
      </c>
      <c r="I18" s="24"/>
    </row>
    <row r="19" spans="1:9" x14ac:dyDescent="0.25">
      <c r="A19">
        <v>17</v>
      </c>
      <c r="B19" s="24">
        <v>4951.6364548705078</v>
      </c>
      <c r="C19" s="24">
        <v>3490.5276437187022</v>
      </c>
      <c r="D19" s="24">
        <v>1756.8353018543312</v>
      </c>
      <c r="E19" s="24">
        <v>4951.6364548705078</v>
      </c>
      <c r="F19" s="24">
        <v>7998.9198367273175</v>
      </c>
      <c r="G19" s="24">
        <v>4611.3687053901458</v>
      </c>
      <c r="H19" s="24">
        <v>4355.1497007284443</v>
      </c>
      <c r="I19" s="24"/>
    </row>
    <row r="20" spans="1:9" x14ac:dyDescent="0.25">
      <c r="A20">
        <v>18</v>
      </c>
      <c r="B20" s="24">
        <v>5224.3441884543099</v>
      </c>
      <c r="C20" s="24">
        <v>3624.076072185168</v>
      </c>
      <c r="D20" s="24">
        <v>1628.2473239363308</v>
      </c>
      <c r="E20" s="24">
        <v>5224.3441884543099</v>
      </c>
      <c r="F20" s="24">
        <v>8219.1462639690853</v>
      </c>
      <c r="G20" s="24">
        <v>5777.631064310237</v>
      </c>
      <c r="H20" s="24">
        <v>4581.1401769484519</v>
      </c>
      <c r="I20" s="24"/>
    </row>
    <row r="21" spans="1:9" x14ac:dyDescent="0.25">
      <c r="A21">
        <v>20</v>
      </c>
    </row>
    <row r="22" spans="1:9" x14ac:dyDescent="0.25">
      <c r="F22" s="25">
        <f>SUM(F2:F20)</f>
        <v>516204.74718946684</v>
      </c>
      <c r="H22" s="25">
        <f>SUM(H2:H20)</f>
        <v>349479.31469131907</v>
      </c>
    </row>
    <row r="23" spans="1:9" x14ac:dyDescent="0.25">
      <c r="H23" s="2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E6" sqref="E6"/>
    </sheetView>
  </sheetViews>
  <sheetFormatPr defaultRowHeight="15" x14ac:dyDescent="0.25"/>
  <cols>
    <col min="2" max="7" width="20.42578125" customWidth="1"/>
  </cols>
  <sheetData>
    <row r="1" spans="1:7" x14ac:dyDescent="0.25"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230</v>
      </c>
    </row>
    <row r="2" spans="1:7" x14ac:dyDescent="0.25">
      <c r="A2" t="s">
        <v>221</v>
      </c>
      <c r="B2">
        <v>149455.65970883731</v>
      </c>
      <c r="C2">
        <v>149432.54548037946</v>
      </c>
      <c r="D2">
        <v>188159.79988525016</v>
      </c>
      <c r="E2">
        <v>349479.31469131919</v>
      </c>
      <c r="F2">
        <v>187810.62251402269</v>
      </c>
      <c r="G2">
        <v>349352.85275887954</v>
      </c>
    </row>
    <row r="3" spans="1:7" x14ac:dyDescent="0.25">
      <c r="A3" t="s">
        <v>231</v>
      </c>
      <c r="B3">
        <v>146163.03832141845</v>
      </c>
      <c r="C3">
        <v>146139.40331440512</v>
      </c>
      <c r="D3">
        <v>180872.05044019668</v>
      </c>
      <c r="E3">
        <v>341123.13471650844</v>
      </c>
      <c r="F3">
        <v>180761.28458110712</v>
      </c>
      <c r="G3">
        <v>341091.94559002313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selection activeCell="C18" sqref="C18"/>
    </sheetView>
  </sheetViews>
  <sheetFormatPr defaultRowHeight="15" x14ac:dyDescent="0.25"/>
  <cols>
    <col min="3" max="3" width="15.5703125" customWidth="1"/>
    <col min="4" max="4" width="11" bestFit="1" customWidth="1"/>
    <col min="5" max="5" width="13.28515625" bestFit="1" customWidth="1"/>
    <col min="6" max="6" width="17.7109375" style="28" bestFit="1" customWidth="1"/>
  </cols>
  <sheetData>
    <row r="1" spans="1:11" x14ac:dyDescent="0.25">
      <c r="B1" t="s">
        <v>131</v>
      </c>
      <c r="C1" t="s">
        <v>132</v>
      </c>
      <c r="D1" t="s">
        <v>122</v>
      </c>
      <c r="E1" t="s">
        <v>121</v>
      </c>
      <c r="F1" s="28" t="s">
        <v>125</v>
      </c>
      <c r="G1" t="s">
        <v>232</v>
      </c>
      <c r="H1" t="s">
        <v>233</v>
      </c>
      <c r="I1" t="s">
        <v>234</v>
      </c>
      <c r="J1" t="s">
        <v>235</v>
      </c>
      <c r="K1" t="s">
        <v>236</v>
      </c>
    </row>
    <row r="2" spans="1:11" x14ac:dyDescent="0.25">
      <c r="A2">
        <v>0</v>
      </c>
      <c r="B2">
        <v>0</v>
      </c>
      <c r="C2" t="s">
        <v>133</v>
      </c>
      <c r="D2" t="s">
        <v>79</v>
      </c>
      <c r="E2" t="s">
        <v>91</v>
      </c>
      <c r="F2" s="28">
        <v>250000</v>
      </c>
      <c r="G2" s="16">
        <v>8.9782380884295687E-3</v>
      </c>
      <c r="H2" s="16">
        <v>2.5183078997315533E-2</v>
      </c>
      <c r="I2" s="16">
        <v>3.9473667209119601E-2</v>
      </c>
      <c r="J2" s="16">
        <v>0.22924043158087248</v>
      </c>
      <c r="K2" s="27">
        <v>0.25200065100655511</v>
      </c>
    </row>
    <row r="3" spans="1:11" x14ac:dyDescent="0.25">
      <c r="A3">
        <v>1</v>
      </c>
      <c r="B3">
        <v>1</v>
      </c>
      <c r="C3" t="s">
        <v>134</v>
      </c>
      <c r="D3" t="s">
        <v>79</v>
      </c>
      <c r="E3" t="s">
        <v>91</v>
      </c>
      <c r="F3" s="28">
        <v>250000</v>
      </c>
      <c r="G3" s="16">
        <v>1.3244348669485539E-2</v>
      </c>
      <c r="H3" s="16">
        <v>2.3325267732211108E-2</v>
      </c>
      <c r="I3" s="16">
        <v>3.6386027268063836E-2</v>
      </c>
      <c r="J3" s="16">
        <v>0.1704387199796018</v>
      </c>
      <c r="K3" s="27">
        <v>0.19229776287763922</v>
      </c>
    </row>
    <row r="4" spans="1:11" x14ac:dyDescent="0.25">
      <c r="A4">
        <v>2</v>
      </c>
      <c r="B4">
        <v>2</v>
      </c>
      <c r="C4" t="s">
        <v>135</v>
      </c>
      <c r="D4" t="s">
        <v>79</v>
      </c>
      <c r="E4" t="s">
        <v>78</v>
      </c>
      <c r="F4" s="28">
        <v>200000</v>
      </c>
      <c r="G4" s="16">
        <v>1.1437547529196124E-3</v>
      </c>
      <c r="H4" s="16">
        <v>3.4673014074625197E-2</v>
      </c>
      <c r="I4" s="16">
        <v>4.78851072830353E-2</v>
      </c>
      <c r="J4" s="16">
        <v>0.18075541812658757</v>
      </c>
      <c r="K4" s="27">
        <v>0.22481341300190794</v>
      </c>
    </row>
    <row r="5" spans="1:11" x14ac:dyDescent="0.25">
      <c r="A5">
        <v>3</v>
      </c>
      <c r="B5">
        <v>3</v>
      </c>
      <c r="C5" t="s">
        <v>136</v>
      </c>
      <c r="D5" t="s">
        <v>79</v>
      </c>
      <c r="E5" t="s">
        <v>91</v>
      </c>
      <c r="F5" s="28">
        <v>200000</v>
      </c>
      <c r="G5" s="16">
        <v>8.9510992054187E-3</v>
      </c>
      <c r="H5" s="16">
        <v>1.93622976109602E-2</v>
      </c>
      <c r="I5" s="16">
        <v>1.1388448870287116E-2</v>
      </c>
      <c r="J5" s="16">
        <v>0.11108304335430352</v>
      </c>
      <c r="K5" s="27">
        <v>0.11857506203251145</v>
      </c>
    </row>
    <row r="6" spans="1:11" x14ac:dyDescent="0.25">
      <c r="A6">
        <v>4</v>
      </c>
      <c r="B6">
        <v>4</v>
      </c>
      <c r="C6" t="s">
        <v>137</v>
      </c>
      <c r="D6" t="s">
        <v>79</v>
      </c>
      <c r="E6" t="s">
        <v>78</v>
      </c>
      <c r="F6" s="28">
        <v>200000</v>
      </c>
      <c r="G6" s="16">
        <v>1.6756851108395976E-2</v>
      </c>
      <c r="H6" s="16">
        <v>2.3006673691605251E-2</v>
      </c>
      <c r="I6" s="16">
        <v>3.4589938279827592E-2</v>
      </c>
      <c r="J6" s="16">
        <v>0.11675613496932513</v>
      </c>
      <c r="K6" s="27">
        <v>0.14064718265041365</v>
      </c>
    </row>
    <row r="7" spans="1:11" x14ac:dyDescent="0.25">
      <c r="A7">
        <v>5</v>
      </c>
      <c r="B7">
        <v>5</v>
      </c>
      <c r="C7" t="s">
        <v>138</v>
      </c>
      <c r="D7" t="s">
        <v>79</v>
      </c>
      <c r="E7" t="s">
        <v>78</v>
      </c>
      <c r="F7" s="28">
        <v>200000</v>
      </c>
      <c r="G7" s="16">
        <v>7.8088578088577609E-3</v>
      </c>
      <c r="H7" s="16">
        <v>2.6837667735423398E-2</v>
      </c>
      <c r="I7" s="16">
        <v>2.9159723875267884E-2</v>
      </c>
      <c r="J7" s="16">
        <v>0.11920786953145224</v>
      </c>
      <c r="K7" s="27">
        <v>0.15478098290598297</v>
      </c>
    </row>
    <row r="8" spans="1:11" x14ac:dyDescent="0.25">
      <c r="A8">
        <v>6</v>
      </c>
      <c r="B8">
        <v>6</v>
      </c>
      <c r="C8" t="s">
        <v>139</v>
      </c>
      <c r="D8" t="s">
        <v>47</v>
      </c>
      <c r="E8" t="s">
        <v>51</v>
      </c>
      <c r="F8" s="28">
        <v>1000000</v>
      </c>
      <c r="G8" s="16">
        <v>8.889092339410265E-4</v>
      </c>
      <c r="H8" s="16">
        <v>-1.7730057236523544E-3</v>
      </c>
      <c r="I8" s="16">
        <v>-1.7730057236523544E-3</v>
      </c>
      <c r="J8" s="16">
        <v>1.3501402055799083E-2</v>
      </c>
      <c r="K8" s="27">
        <v>1.2589959061471312E-2</v>
      </c>
    </row>
    <row r="9" spans="1:11" x14ac:dyDescent="0.25">
      <c r="A9">
        <v>7</v>
      </c>
      <c r="B9">
        <v>7</v>
      </c>
      <c r="C9" t="s">
        <v>140</v>
      </c>
      <c r="D9" t="s">
        <v>47</v>
      </c>
      <c r="E9" t="s">
        <v>51</v>
      </c>
      <c r="F9" s="28">
        <v>1000000</v>
      </c>
      <c r="G9" s="16">
        <v>8.6283250648655496E-4</v>
      </c>
      <c r="H9" s="16">
        <v>0</v>
      </c>
      <c r="I9" s="16">
        <v>2.5929721207278433E-3</v>
      </c>
      <c r="J9" s="16">
        <v>2.3830578956910875E-2</v>
      </c>
      <c r="K9" s="27">
        <v>3.1111145019531383E-2</v>
      </c>
    </row>
    <row r="10" spans="1:11" x14ac:dyDescent="0.25">
      <c r="A10">
        <v>8</v>
      </c>
      <c r="B10">
        <v>8</v>
      </c>
      <c r="C10" t="s">
        <v>141</v>
      </c>
      <c r="D10" t="s">
        <v>47</v>
      </c>
      <c r="E10" t="s">
        <v>46</v>
      </c>
      <c r="F10" s="28">
        <v>1900000</v>
      </c>
      <c r="G10" s="16">
        <v>2.1295377309056285E-3</v>
      </c>
      <c r="H10" s="16">
        <v>8.4339559266144448E-4</v>
      </c>
      <c r="I10" s="16">
        <v>2.931519187514553E-4</v>
      </c>
      <c r="J10" s="16">
        <v>1.8432780418718098E-2</v>
      </c>
      <c r="K10" s="27">
        <v>1.8812997595345271E-2</v>
      </c>
    </row>
    <row r="11" spans="1:11" x14ac:dyDescent="0.25">
      <c r="A11">
        <v>9</v>
      </c>
      <c r="B11">
        <v>9</v>
      </c>
      <c r="C11" t="s">
        <v>142</v>
      </c>
      <c r="D11" t="s">
        <v>47</v>
      </c>
      <c r="E11" t="s">
        <v>46</v>
      </c>
      <c r="F11" s="28">
        <v>1900000</v>
      </c>
      <c r="G11" s="16">
        <v>6.398597000319306E-3</v>
      </c>
      <c r="H11" s="16">
        <v>-6.3537890136933228E-4</v>
      </c>
      <c r="I11" s="16">
        <v>6.9508152109918342E-3</v>
      </c>
      <c r="J11" s="16">
        <v>3.6430394299392432E-2</v>
      </c>
      <c r="K11" s="27">
        <v>1.6620526910787303E-2</v>
      </c>
    </row>
    <row r="12" spans="1:11" x14ac:dyDescent="0.25">
      <c r="A12">
        <v>10</v>
      </c>
      <c r="B12">
        <v>10</v>
      </c>
      <c r="C12" t="s">
        <v>143</v>
      </c>
      <c r="D12" t="s">
        <v>47</v>
      </c>
      <c r="E12" t="s">
        <v>46</v>
      </c>
      <c r="F12" s="28">
        <v>900000</v>
      </c>
      <c r="G12" s="16">
        <v>-4.075182909936137E-4</v>
      </c>
      <c r="H12" s="16">
        <v>-4.0604282484425491E-3</v>
      </c>
      <c r="I12" s="16">
        <v>-5.0031578801851273E-3</v>
      </c>
      <c r="J12" s="16">
        <v>8.3592264131229221E-3</v>
      </c>
      <c r="K12" s="27">
        <v>1.3591327986128832E-4</v>
      </c>
    </row>
    <row r="13" spans="1:11" x14ac:dyDescent="0.25">
      <c r="A13">
        <v>11</v>
      </c>
      <c r="B13">
        <v>11</v>
      </c>
      <c r="C13" t="s">
        <v>144</v>
      </c>
      <c r="D13" t="s">
        <v>47</v>
      </c>
      <c r="E13" t="s">
        <v>51</v>
      </c>
      <c r="F13" s="28">
        <v>200000</v>
      </c>
      <c r="G13" s="16">
        <v>3.0159414045669575E-3</v>
      </c>
      <c r="H13" s="16">
        <v>6.0501296456352271E-3</v>
      </c>
      <c r="I13" s="16">
        <v>7.3561228905236753E-3</v>
      </c>
      <c r="J13" s="16">
        <v>4.959422903516697E-2</v>
      </c>
      <c r="K13" s="27">
        <v>8.582089552238803E-2</v>
      </c>
    </row>
    <row r="14" spans="1:11" x14ac:dyDescent="0.25">
      <c r="A14">
        <v>12</v>
      </c>
      <c r="B14">
        <v>12</v>
      </c>
      <c r="C14" t="s">
        <v>145</v>
      </c>
      <c r="D14" t="s">
        <v>47</v>
      </c>
      <c r="E14" t="s">
        <v>51</v>
      </c>
      <c r="F14" s="28">
        <v>200000</v>
      </c>
      <c r="G14" s="16">
        <v>2.8224668360143923E-4</v>
      </c>
      <c r="H14" s="16">
        <v>3.9660056657224718E-3</v>
      </c>
      <c r="I14" s="16">
        <v>5.3900709219858456E-3</v>
      </c>
      <c r="J14" s="16">
        <v>4.5119433795340669E-2</v>
      </c>
      <c r="K14" s="27">
        <v>7.4264928766292648E-2</v>
      </c>
    </row>
    <row r="15" spans="1:11" x14ac:dyDescent="0.25">
      <c r="A15">
        <v>13</v>
      </c>
      <c r="B15">
        <v>13</v>
      </c>
      <c r="C15" t="s">
        <v>146</v>
      </c>
      <c r="D15" t="s">
        <v>47</v>
      </c>
      <c r="E15" t="s">
        <v>46</v>
      </c>
      <c r="F15" s="28">
        <v>200000</v>
      </c>
      <c r="G15" s="16">
        <v>2.4340341011752642E-3</v>
      </c>
      <c r="H15" s="16">
        <v>8.4229517730014525E-3</v>
      </c>
      <c r="I15" s="16">
        <v>-1.5207617828640774E-2</v>
      </c>
      <c r="J15" s="16">
        <v>-1.3792777752809848E-2</v>
      </c>
      <c r="K15" s="27">
        <v>-2.1175939628490403E-2</v>
      </c>
    </row>
    <row r="16" spans="1:11" x14ac:dyDescent="0.25">
      <c r="A16">
        <v>14</v>
      </c>
      <c r="B16">
        <v>14</v>
      </c>
      <c r="C16" t="s">
        <v>147</v>
      </c>
      <c r="D16" t="s">
        <v>27</v>
      </c>
      <c r="E16" t="s">
        <v>39</v>
      </c>
      <c r="F16" s="28">
        <v>150000</v>
      </c>
      <c r="G16" s="16">
        <v>0</v>
      </c>
      <c r="H16" s="16">
        <v>0</v>
      </c>
      <c r="I16" s="16">
        <v>0</v>
      </c>
      <c r="J16" s="16">
        <v>0</v>
      </c>
      <c r="K16" s="27">
        <v>1.2062929471008621E-2</v>
      </c>
    </row>
    <row r="17" spans="1:11" x14ac:dyDescent="0.25">
      <c r="A17">
        <v>15</v>
      </c>
      <c r="B17">
        <v>15</v>
      </c>
      <c r="C17" t="s">
        <v>148</v>
      </c>
      <c r="D17" t="s">
        <v>27</v>
      </c>
      <c r="E17" t="s">
        <v>39</v>
      </c>
      <c r="F17" s="28">
        <v>150000</v>
      </c>
      <c r="G17" s="16">
        <v>2.8999999999999027E-3</v>
      </c>
      <c r="H17" s="16">
        <v>2.8999999999999027E-3</v>
      </c>
      <c r="I17" s="16">
        <v>2.8999999999999027E-3</v>
      </c>
      <c r="J17" s="16">
        <v>-1.1867474041758919E-2</v>
      </c>
      <c r="K17" s="27">
        <v>-1.0551238326898638E-2</v>
      </c>
    </row>
    <row r="18" spans="1:11" x14ac:dyDescent="0.25">
      <c r="A18">
        <v>16</v>
      </c>
      <c r="B18">
        <v>16</v>
      </c>
      <c r="C18" t="s">
        <v>149</v>
      </c>
      <c r="D18" t="s">
        <v>27</v>
      </c>
      <c r="E18" t="s">
        <v>26</v>
      </c>
      <c r="F18" s="28">
        <v>200000</v>
      </c>
      <c r="G18" s="16">
        <v>1.2000000000000011E-2</v>
      </c>
      <c r="H18" s="16">
        <v>1.2000000000000011E-2</v>
      </c>
      <c r="I18" s="16">
        <v>1.2000000000000011E-2</v>
      </c>
      <c r="J18" s="16">
        <v>5.8291403430783539E-2</v>
      </c>
      <c r="K18" s="27">
        <v>9.4470060024520963E-2</v>
      </c>
    </row>
    <row r="19" spans="1:11" x14ac:dyDescent="0.25">
      <c r="A19">
        <v>17</v>
      </c>
      <c r="B19">
        <v>17</v>
      </c>
      <c r="C19" t="s">
        <v>150</v>
      </c>
      <c r="D19" t="s">
        <v>27</v>
      </c>
      <c r="E19" t="s">
        <v>26</v>
      </c>
      <c r="F19" s="28">
        <v>200000</v>
      </c>
      <c r="G19" s="16">
        <v>0</v>
      </c>
      <c r="H19" s="16">
        <v>0</v>
      </c>
      <c r="I19" s="16">
        <v>0</v>
      </c>
      <c r="J19" s="16">
        <v>5.182162276893143E-2</v>
      </c>
      <c r="K19" s="27">
        <v>0.12012716113938349</v>
      </c>
    </row>
    <row r="20" spans="1:11" x14ac:dyDescent="0.25">
      <c r="A20">
        <v>18</v>
      </c>
      <c r="B20">
        <v>18</v>
      </c>
      <c r="C20" t="s">
        <v>151</v>
      </c>
      <c r="D20" t="s">
        <v>27</v>
      </c>
      <c r="E20" t="s">
        <v>26</v>
      </c>
      <c r="F20" s="28">
        <v>200000</v>
      </c>
      <c r="G20" s="16">
        <v>0</v>
      </c>
      <c r="H20" s="16">
        <v>0</v>
      </c>
      <c r="I20" s="16">
        <v>0</v>
      </c>
      <c r="J20" s="16">
        <v>0</v>
      </c>
      <c r="K20" s="27">
        <v>0</v>
      </c>
    </row>
    <row r="21" spans="1:11" x14ac:dyDescent="0.25">
      <c r="A21">
        <v>19</v>
      </c>
      <c r="B21">
        <v>20</v>
      </c>
      <c r="C21" t="s">
        <v>152</v>
      </c>
      <c r="D21" t="s">
        <v>23</v>
      </c>
      <c r="E21" t="s">
        <v>23</v>
      </c>
      <c r="F21" s="28">
        <v>499999.99999999901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K34" sqref="K34"/>
    </sheetView>
  </sheetViews>
  <sheetFormatPr defaultRowHeight="15" x14ac:dyDescent="0.25"/>
  <cols>
    <col min="1" max="1" width="19.5703125" customWidth="1"/>
    <col min="2" max="2" width="15.28515625" bestFit="1" customWidth="1"/>
  </cols>
  <sheetData>
    <row r="1" spans="1:2" x14ac:dyDescent="0.25">
      <c r="A1" t="s">
        <v>250</v>
      </c>
      <c r="B1" s="28">
        <v>9999999.9999999981</v>
      </c>
    </row>
    <row r="2" spans="1:2" x14ac:dyDescent="0.25">
      <c r="A2" t="s">
        <v>226</v>
      </c>
      <c r="B2" s="28">
        <v>149455.65970883716</v>
      </c>
    </row>
    <row r="3" spans="1:2" x14ac:dyDescent="0.25">
      <c r="A3" t="s">
        <v>229</v>
      </c>
      <c r="B3" s="28">
        <v>188159.79988525016</v>
      </c>
    </row>
    <row r="4" spans="1:2" x14ac:dyDescent="0.25">
      <c r="A4" t="s">
        <v>230</v>
      </c>
      <c r="B4" s="28">
        <v>349479.31469131913</v>
      </c>
    </row>
    <row r="5" spans="1:2" x14ac:dyDescent="0.25">
      <c r="A5" t="s">
        <v>243</v>
      </c>
      <c r="B5" s="16">
        <v>5.1772959218886153E-2</v>
      </c>
    </row>
    <row r="6" spans="1:2" x14ac:dyDescent="0.25">
      <c r="A6" t="s">
        <v>245</v>
      </c>
      <c r="B6" s="16">
        <v>1.8815979988525019E-2</v>
      </c>
    </row>
    <row r="7" spans="1:2" x14ac:dyDescent="0.25">
      <c r="A7" t="s">
        <v>251</v>
      </c>
      <c r="B7" s="16">
        <v>3.4947931469131922E-2</v>
      </c>
    </row>
    <row r="8" spans="1:2" x14ac:dyDescent="0.25">
      <c r="A8" t="s">
        <v>123</v>
      </c>
      <c r="B8" s="16">
        <v>5.1880000000000009E-2</v>
      </c>
    </row>
    <row r="9" spans="1:2" x14ac:dyDescent="0.25">
      <c r="A9" t="s">
        <v>248</v>
      </c>
      <c r="B9" s="15">
        <v>0.27775117005006661</v>
      </c>
    </row>
    <row r="10" spans="1:2" x14ac:dyDescent="0.25">
      <c r="A10" t="s">
        <v>252</v>
      </c>
      <c r="B10" s="15">
        <v>0.22061824247288755</v>
      </c>
    </row>
    <row r="11" spans="1:2" x14ac:dyDescent="0.25">
      <c r="A11" t="s">
        <v>253</v>
      </c>
      <c r="B11" s="15">
        <v>0.11878094814109247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selection activeCell="E28" sqref="E28"/>
    </sheetView>
  </sheetViews>
  <sheetFormatPr defaultRowHeight="15" x14ac:dyDescent="0.25"/>
  <cols>
    <col min="2" max="8" width="17.85546875" customWidth="1"/>
  </cols>
  <sheetData>
    <row r="1" spans="1:8" x14ac:dyDescent="0.25">
      <c r="B1" t="s">
        <v>254</v>
      </c>
      <c r="C1" t="s">
        <v>255</v>
      </c>
      <c r="D1" t="s">
        <v>256</v>
      </c>
      <c r="E1" t="s">
        <v>257</v>
      </c>
      <c r="F1" t="s">
        <v>248</v>
      </c>
      <c r="G1" t="s">
        <v>252</v>
      </c>
      <c r="H1" t="s">
        <v>258</v>
      </c>
    </row>
    <row r="2" spans="1:8" x14ac:dyDescent="0.25">
      <c r="A2">
        <v>0</v>
      </c>
      <c r="B2" t="s">
        <v>259</v>
      </c>
      <c r="C2">
        <v>5.1772959218886153E-2</v>
      </c>
      <c r="D2">
        <v>3.4947931469131922E-2</v>
      </c>
      <c r="E2">
        <v>5.1880000000000009E-2</v>
      </c>
      <c r="F2">
        <v>0.27775117005006661</v>
      </c>
      <c r="G2">
        <v>0.11878094814109247</v>
      </c>
      <c r="H2">
        <v>349479.31469131913</v>
      </c>
    </row>
    <row r="3" spans="1:8" x14ac:dyDescent="0.25">
      <c r="A3">
        <v>1</v>
      </c>
      <c r="B3" t="s">
        <v>5</v>
      </c>
      <c r="C3">
        <v>7.7642877907841301E-2</v>
      </c>
      <c r="D3">
        <v>5.5002508473337416E-2</v>
      </c>
      <c r="E3">
        <v>4.8799999999999899E-2</v>
      </c>
      <c r="F3">
        <v>0.14553813954980527</v>
      </c>
      <c r="G3">
        <v>5.9306913656540457E-2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Parameters</vt:lpstr>
      <vt:lpstr>Positions</vt:lpstr>
      <vt:lpstr>test_pos</vt:lpstr>
      <vt:lpstr>security</vt:lpstr>
      <vt:lpstr>PortfolioTemplate</vt:lpstr>
      <vt:lpstr>prices</vt:lpstr>
      <vt:lpstr>risk_factors</vt:lpstr>
      <vt:lpstr>VaR</vt:lpstr>
      <vt:lpstr>catVaR</vt:lpstr>
      <vt:lpstr>performance</vt:lpstr>
      <vt:lpstr>tot_var</vt:lpstr>
      <vt:lpstr>db_risk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Ding</dc:creator>
  <cp:lastModifiedBy>Michael Ding</cp:lastModifiedBy>
  <dcterms:created xsi:type="dcterms:W3CDTF">2024-03-23T21:18:25Z</dcterms:created>
  <dcterms:modified xsi:type="dcterms:W3CDTF">2024-03-26T16:44:01Z</dcterms:modified>
</cp:coreProperties>
</file>