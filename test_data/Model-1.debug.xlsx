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gdin\OneDrive\Documents\dev\TRG_App\dev\trgapp\test_data\"/>
    </mc:Choice>
  </mc:AlternateContent>
  <bookViews>
    <workbookView xWindow="0" yWindow="0" windowWidth="25815" windowHeight="11535" firstSheet="1" activeTab="12"/>
  </bookViews>
  <sheets>
    <sheet name="Parameters" sheetId="1" r:id="rId1"/>
    <sheet name="Positions" sheetId="2" r:id="rId2"/>
    <sheet name="InputPositions" sheetId="3" r:id="rId3"/>
    <sheet name="Static" sheetId="4" r:id="rId4"/>
    <sheet name="Log" sheetId="5" r:id="rId5"/>
    <sheet name="Unknwon Securities" sheetId="6" r:id="rId6"/>
    <sheet name="Security_info" sheetId="7" r:id="rId7"/>
    <sheet name="LastPrices" sheetId="8" r:id="rId8"/>
    <sheet name="Bonds" sheetId="9" r:id="rId9"/>
    <sheet name="PosVaR" sheetId="10" r:id="rId10"/>
    <sheet name="RiskFactor" sheetId="11" r:id="rId11"/>
    <sheet name="VaR" sheetId="12" r:id="rId12"/>
    <sheet name="RF_VaR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2" l="1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<sst xmlns="http://schemas.openxmlformats.org/spreadsheetml/2006/main" count="1240" uniqueCount="217">
  <si>
    <t>SecurityName</t>
  </si>
  <si>
    <t>ISIN</t>
  </si>
  <si>
    <t>CUSIP</t>
  </si>
  <si>
    <t>Ticker</t>
  </si>
  <si>
    <t>Quantity</t>
  </si>
  <si>
    <t>MarketValue</t>
  </si>
  <si>
    <t>Weight</t>
  </si>
  <si>
    <t>ExpectedReturn</t>
  </si>
  <si>
    <t>AssetClass</t>
  </si>
  <si>
    <t>AssetType</t>
  </si>
  <si>
    <t>LastPrice</t>
  </si>
  <si>
    <t>LastPriceDate</t>
  </si>
  <si>
    <t>Currency</t>
  </si>
  <si>
    <t>Country</t>
  </si>
  <si>
    <t>Region</t>
  </si>
  <si>
    <t>Sector</t>
  </si>
  <si>
    <t>Industry</t>
  </si>
  <si>
    <t>OptionType</t>
  </si>
  <si>
    <t>FrequencyMonths</t>
  </si>
  <si>
    <t>MaturityDate</t>
  </si>
  <si>
    <t>OptionStrike</t>
  </si>
  <si>
    <t>UnderlyingSecurityID</t>
  </si>
  <si>
    <t>CouponRate</t>
  </si>
  <si>
    <t>Class</t>
  </si>
  <si>
    <t>SC1</t>
  </si>
  <si>
    <t>SC2</t>
  </si>
  <si>
    <t>Vaneck Wide Moat ETF</t>
  </si>
  <si>
    <t>US92189F6438</t>
  </si>
  <si>
    <t>CSTNL</t>
  </si>
  <si>
    <t>Equity</t>
  </si>
  <si>
    <t>Equity ETF</t>
  </si>
  <si>
    <t>USD</t>
  </si>
  <si>
    <t>United States</t>
  </si>
  <si>
    <t>North America</t>
  </si>
  <si>
    <t>Energy</t>
  </si>
  <si>
    <t>Energy Equipment &amp; Services</t>
  </si>
  <si>
    <t>US Equity</t>
  </si>
  <si>
    <t>iShares Core S&amp;P 500 UCITS ETF USD</t>
  </si>
  <si>
    <t>IE00B5BMR087</t>
  </si>
  <si>
    <t>LOMIZ</t>
  </si>
  <si>
    <t>Oil, Gas &amp; Consumable Fuels</t>
  </si>
  <si>
    <t xml:space="preserve">Virtus US Small Cap Focus </t>
  </si>
  <si>
    <t>IE00BQSBKL72</t>
  </si>
  <si>
    <t>JPMMZ</t>
  </si>
  <si>
    <t>Equity Fund</t>
  </si>
  <si>
    <t>Materials</t>
  </si>
  <si>
    <t>Chemicals</t>
  </si>
  <si>
    <t>SPDR ACWI IMI</t>
  </si>
  <si>
    <t>IE00B3YLTY66</t>
  </si>
  <si>
    <t>MFMER</t>
  </si>
  <si>
    <t>Euro</t>
  </si>
  <si>
    <t>Germany</t>
  </si>
  <si>
    <t>Europe</t>
  </si>
  <si>
    <t>Construction Materials</t>
  </si>
  <si>
    <t>Morgan Stanley Global Brands CL I</t>
  </si>
  <si>
    <t>LU0119620176</t>
  </si>
  <si>
    <t>TIESI</t>
  </si>
  <si>
    <t>Spain</t>
  </si>
  <si>
    <t>Containers &amp; Packaging</t>
  </si>
  <si>
    <t>European Equity</t>
  </si>
  <si>
    <t>Ninety One Global Franchise CL I</t>
  </si>
  <si>
    <t>LU0426422076</t>
  </si>
  <si>
    <t>SSDRF</t>
  </si>
  <si>
    <t>Lord Abbet Short Duration Income</t>
  </si>
  <si>
    <t>IE00BFNWYB63</t>
  </si>
  <si>
    <t>SCHHH</t>
  </si>
  <si>
    <t>Bond</t>
  </si>
  <si>
    <t>Bond Fund</t>
  </si>
  <si>
    <t>Industrials</t>
  </si>
  <si>
    <t>Capital Goods</t>
  </si>
  <si>
    <t>Short Bond</t>
  </si>
  <si>
    <t>Virus MultiSector Short Term Bond</t>
  </si>
  <si>
    <t>IE00BQSBJZ46</t>
  </si>
  <si>
    <t>AGACZ</t>
  </si>
  <si>
    <t>Commercial &amp; Professional Services</t>
  </si>
  <si>
    <t>Long Bond</t>
  </si>
  <si>
    <t>ISHARES USD SHORT DURATION CORP BOND UCITS</t>
  </si>
  <si>
    <t>IE00BYXYYP94</t>
  </si>
  <si>
    <t>NUHGZ</t>
  </si>
  <si>
    <t>Bond ETF</t>
  </si>
  <si>
    <t>Transportation</t>
  </si>
  <si>
    <t>ISHARES USD CORP BOND UCITS ETF ACCUM</t>
  </si>
  <si>
    <t>IE00BYXYYJ35</t>
  </si>
  <si>
    <t>AEUUU</t>
  </si>
  <si>
    <t>Ishares Treasury Bond 1-3 year UCITS ETF</t>
  </si>
  <si>
    <t>IE00B3VWN179</t>
  </si>
  <si>
    <t>EUEIC</t>
  </si>
  <si>
    <t>Yen</t>
  </si>
  <si>
    <t>Japan</t>
  </si>
  <si>
    <t>Asia &amp; Pacific</t>
  </si>
  <si>
    <t>AB Short Duration High Yield</t>
  </si>
  <si>
    <t>LU0654560100</t>
  </si>
  <si>
    <t>MOTTZ</t>
  </si>
  <si>
    <t>Morgan Stanley Short Duration High Yield</t>
  </si>
  <si>
    <t>LU1134226536</t>
  </si>
  <si>
    <t>IMSCF</t>
  </si>
  <si>
    <t>iShares High Yield</t>
  </si>
  <si>
    <t>IE00B4PY7Y77</t>
  </si>
  <si>
    <t>IHHSF</t>
  </si>
  <si>
    <t>Blackstone Real Estate Income</t>
  </si>
  <si>
    <t>8359619M7</t>
  </si>
  <si>
    <t>CACCZ</t>
  </si>
  <si>
    <t>Alternative</t>
  </si>
  <si>
    <t>Real Estate</t>
  </si>
  <si>
    <t>Nuveen Global Cities Real Estate Income</t>
  </si>
  <si>
    <t>8359619L9</t>
  </si>
  <si>
    <t>LODEZ</t>
  </si>
  <si>
    <t>Blackstone Private Credit Fund Class I</t>
  </si>
  <si>
    <t>09261H305</t>
  </si>
  <si>
    <t>PGLAZ</t>
  </si>
  <si>
    <t>Private Credit</t>
  </si>
  <si>
    <t>Owl Rock Core Income</t>
  </si>
  <si>
    <t>8359769R4</t>
  </si>
  <si>
    <t>LODUT</t>
  </si>
  <si>
    <t>North Haven Private Income</t>
  </si>
  <si>
    <t>6269979A0</t>
  </si>
  <si>
    <t>ISHVF</t>
  </si>
  <si>
    <t>Cash</t>
  </si>
  <si>
    <t>CASH</t>
  </si>
  <si>
    <t>USD.CCY</t>
  </si>
  <si>
    <t>Parameters</t>
  </si>
  <si>
    <t>Values</t>
  </si>
  <si>
    <t>Portfolio Name</t>
  </si>
  <si>
    <t>Report Date</t>
  </si>
  <si>
    <t>Risk Horizon</t>
  </si>
  <si>
    <t>Benchmark</t>
  </si>
  <si>
    <t>BM_20_80</t>
  </si>
  <si>
    <t>Model 1</t>
  </si>
  <si>
    <t>As of Date</t>
  </si>
  <si>
    <t>1 Month</t>
  </si>
  <si>
    <t>Tail Measure</t>
  </si>
  <si>
    <t>95% TailVaR</t>
  </si>
  <si>
    <t>Return Frequency</t>
  </si>
  <si>
    <t>Daily</t>
  </si>
  <si>
    <t>Expected Return</t>
  </si>
  <si>
    <t>Upload</t>
  </si>
  <si>
    <t>Base Currency</t>
  </si>
  <si>
    <t>index</t>
  </si>
  <si>
    <t>Name</t>
  </si>
  <si>
    <t>Value</t>
  </si>
  <si>
    <t>Riskfree Rate</t>
  </si>
  <si>
    <t>SecurityID</t>
  </si>
  <si>
    <t>Message</t>
  </si>
  <si>
    <t>pos_id</t>
  </si>
  <si>
    <t>user_LastPrice</t>
  </si>
  <si>
    <t>user_LastPriceDate</t>
  </si>
  <si>
    <t>user_AssetClass</t>
  </si>
  <si>
    <t>user_AssetType</t>
  </si>
  <si>
    <t>user_OptionType</t>
  </si>
  <si>
    <t>user_MaturityDate</t>
  </si>
  <si>
    <t>user_OptionStrike</t>
  </si>
  <si>
    <t>user_UnderlyingSecurityID</t>
  </si>
  <si>
    <t>user_CouponRate</t>
  </si>
  <si>
    <t>id</t>
  </si>
  <si>
    <t>DataSource</t>
  </si>
  <si>
    <t>DateAdded</t>
  </si>
  <si>
    <t>T10000106</t>
  </si>
  <si>
    <t>ISHARES CORE S&amp;P 500 UCITS ETF</t>
  </si>
  <si>
    <t>FT PortfolioA</t>
  </si>
  <si>
    <t>T10000877</t>
  </si>
  <si>
    <t>T10000878</t>
  </si>
  <si>
    <t>T10000885</t>
  </si>
  <si>
    <t>CASH USD</t>
  </si>
  <si>
    <t>T10000912</t>
  </si>
  <si>
    <t>T10000913</t>
  </si>
  <si>
    <t>T10000914</t>
  </si>
  <si>
    <t>T10000915</t>
  </si>
  <si>
    <t>T10000916</t>
  </si>
  <si>
    <t>T10000882</t>
  </si>
  <si>
    <t>T10000883</t>
  </si>
  <si>
    <t>T10000872</t>
  </si>
  <si>
    <t>T10000873</t>
  </si>
  <si>
    <t>T10000874</t>
  </si>
  <si>
    <t>T10000875</t>
  </si>
  <si>
    <t>T10000876</t>
  </si>
  <si>
    <t>T10000879</t>
  </si>
  <si>
    <t>T10000880</t>
  </si>
  <si>
    <t>T10000881</t>
  </si>
  <si>
    <t>T10000884</t>
  </si>
  <si>
    <t>BB_Global</t>
  </si>
  <si>
    <t>BB_UNIQUE</t>
  </si>
  <si>
    <t>IssuedCurrency</t>
  </si>
  <si>
    <t>IssuerTicker</t>
  </si>
  <si>
    <t>Rating</t>
  </si>
  <si>
    <t>CouponType</t>
  </si>
  <si>
    <t>PaymentFrequency</t>
  </si>
  <si>
    <t>Callable</t>
  </si>
  <si>
    <t>CallDate</t>
  </si>
  <si>
    <t>Formula</t>
  </si>
  <si>
    <t>Putable</t>
  </si>
  <si>
    <t>DayCountBasis</t>
  </si>
  <si>
    <t>DatedDate</t>
  </si>
  <si>
    <t>FirstInterestPayment</t>
  </si>
  <si>
    <t>AddDate</t>
  </si>
  <si>
    <t>UpdateDate</t>
  </si>
  <si>
    <t>DELTA</t>
  </si>
  <si>
    <t>IR_PV01</t>
  </si>
  <si>
    <t>SP_PV01</t>
  </si>
  <si>
    <t>Duration</t>
  </si>
  <si>
    <t>Convexity</t>
  </si>
  <si>
    <t>SpreadDuration</t>
  </si>
  <si>
    <t>SpreadConvexity</t>
  </si>
  <si>
    <t>GAMMA</t>
  </si>
  <si>
    <t>VEGA</t>
  </si>
  <si>
    <t>IV</t>
  </si>
  <si>
    <t>Category</t>
  </si>
  <si>
    <t>RF_ID</t>
  </si>
  <si>
    <t>Sensitivity</t>
  </si>
  <si>
    <t>Exposure</t>
  </si>
  <si>
    <t>DELTA VaR</t>
  </si>
  <si>
    <t>STD</t>
  </si>
  <si>
    <t>Marginal_STD</t>
  </si>
  <si>
    <t>VaR</t>
  </si>
  <si>
    <t>tVaR</t>
  </si>
  <si>
    <t>Marginal_VaR</t>
  </si>
  <si>
    <t>Marginal_tVaR</t>
  </si>
  <si>
    <t>RF_Type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</si>
</sst>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/>
  </cellStyleXfs>
  <cellXfs count="21">
    <xf numFmtId="0" fontId="0" fillId="0" borderId="0" xfId="0"/>
    <xf numFmtId="0" fontId="2" fillId="2" borderId="1" xfId="0" applyNumberFormat="1" applyFont="1" applyFill="1" applyBorder="1" applyAlignment="1">
      <alignment horizontal="left" vertical="top"/>
    </xf>
    <xf numFmtId="0" fontId="3" fillId="2" borderId="1" xfId="4" applyNumberFormat="1" applyFont="1" applyFill="1" applyBorder="1" applyAlignment="1">
      <alignment horizontal="left"/>
    </xf>
    <xf numFmtId="0" fontId="3" fillId="2" borderId="1" xfId="5" applyNumberFormat="1" applyFont="1" applyFill="1" applyBorder="1"/>
    <xf numFmtId="0" fontId="2" fillId="2" borderId="1" xfId="0" applyNumberFormat="1" applyFont="1" applyFill="1" applyBorder="1" applyAlignment="1">
      <alignment horizontal="center" vertical="top"/>
    </xf>
    <xf numFmtId="0" fontId="3" fillId="2" borderId="1" xfId="4" applyNumberFormat="1" applyFont="1" applyFill="1" applyBorder="1"/>
    <xf numFmtId="0" fontId="3" fillId="2" borderId="1" xfId="0" applyNumberFormat="1" applyFont="1" applyFill="1" applyBorder="1" applyAlignment="1">
      <alignment horizontal="center"/>
    </xf>
    <xf numFmtId="164" fontId="0" fillId="0" borderId="0" xfId="1" applyNumberFormat="1" applyFont="1"/>
    <xf numFmtId="44" fontId="0" fillId="0" borderId="0" xfId="2" applyFont="1"/>
    <xf numFmtId="10" fontId="0" fillId="0" borderId="0" xfId="3" applyNumberFormat="1" applyFont="1"/>
    <xf numFmtId="2" fontId="0" fillId="0" borderId="0" xfId="0" applyNumberFormat="1"/>
    <xf numFmtId="14" fontId="0" fillId="0" borderId="0" xfId="0" applyNumberFormat="1"/>
    <xf numFmtId="0" fontId="4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7" fontId="0" fillId="0" borderId="0" xfId="0" applyNumberFormat="1"/>
  </cellXfs>
  <cellStyles count="6">
    <cellStyle name="Comma" xfId="1" builtinId="3"/>
    <cellStyle name="Comma 2" xfId="5"/>
    <cellStyle name="Currency" xfId="2" builtinId="4"/>
    <cellStyle name="Normal" xfId="0" builtinId="0"/>
    <cellStyle name="Percent" xfId="3" builtinId="5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G6" sqref="G6"/>
    </sheetView>
  </sheetViews>
  <sheetFormatPr defaultRowHeight="15" x14ac:dyDescent="0.25"/>
  <cols>
    <col min="1" max="1" width="27.7109375" style="13" customWidth="1"/>
    <col min="2" max="2" width="43.28515625" style="14" customWidth="1"/>
    <col min="3" max="16384" width="9.140625" style="13"/>
  </cols>
  <sheetData>
    <row r="1" spans="1:2" s="12" customFormat="1" x14ac:dyDescent="0.25">
      <c r="A1" s="15" t="s">
        <v>120</v>
      </c>
      <c r="B1" s="16" t="s">
        <v>121</v>
      </c>
    </row>
    <row r="2" spans="1:2" x14ac:dyDescent="0.25">
      <c r="A2" s="17" t="s">
        <v>122</v>
      </c>
      <c r="B2" s="18" t="s">
        <v>127</v>
      </c>
    </row>
    <row r="3" spans="1:2" x14ac:dyDescent="0.25">
      <c r="A3" s="17" t="s">
        <v>128</v>
      </c>
      <c r="B3" s="19">
        <v>45473</v>
      </c>
    </row>
    <row r="4" spans="1:2" x14ac:dyDescent="0.25">
      <c r="A4" s="17" t="s">
        <v>123</v>
      </c>
      <c r="B4" s="19">
        <v>45473</v>
      </c>
    </row>
    <row r="5" spans="1:2" x14ac:dyDescent="0.25">
      <c r="A5" s="17" t="s">
        <v>124</v>
      </c>
      <c r="B5" s="18" t="s">
        <v>129</v>
      </c>
    </row>
    <row r="6" spans="1:2" x14ac:dyDescent="0.25">
      <c r="A6" s="17" t="s">
        <v>130</v>
      </c>
      <c r="B6" s="18" t="s">
        <v>131</v>
      </c>
    </row>
    <row r="7" spans="1:2" x14ac:dyDescent="0.25">
      <c r="A7" s="17" t="s">
        <v>132</v>
      </c>
      <c r="B7" s="18" t="s">
        <v>133</v>
      </c>
    </row>
    <row r="8" spans="1:2" x14ac:dyDescent="0.25">
      <c r="A8" s="17" t="s">
        <v>125</v>
      </c>
      <c r="B8" s="18" t="s">
        <v>126</v>
      </c>
    </row>
    <row r="9" spans="1:2" x14ac:dyDescent="0.25">
      <c r="A9" s="17" t="s">
        <v>134</v>
      </c>
      <c r="B9" s="18" t="s">
        <v>135</v>
      </c>
    </row>
    <row r="10" spans="1:2" x14ac:dyDescent="0.25">
      <c r="A10" s="17" t="s">
        <v>136</v>
      </c>
      <c r="B10" s="1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"/>
  <sheetViews>
    <sheetView workbookViewId="0">
      <selection activeCell="H1" sqref="H1:H1048576"/>
    </sheetView>
  </sheetViews>
  <sheetFormatPr defaultRowHeight="15" x14ac:dyDescent="0.25"/>
  <cols>
    <col min="1" max="1" width="46" bestFit="1" customWidth="1"/>
    <col min="2" max="2" width="14.42578125" bestFit="1" customWidth="1"/>
    <col min="3" max="3" width="10.7109375" bestFit="1" customWidth="1"/>
    <col min="4" max="4" width="8.42578125" bestFit="1" customWidth="1"/>
    <col min="5" max="5" width="9.7109375" bestFit="1" customWidth="1"/>
    <col min="6" max="6" width="14.28515625" bestFit="1" customWidth="1"/>
    <col min="7" max="7" width="8.140625" bestFit="1" customWidth="1"/>
    <col min="8" max="8" width="16.7109375" bestFit="1" customWidth="1"/>
    <col min="9" max="9" width="11" bestFit="1" customWidth="1"/>
    <col min="10" max="10" width="13.28515625" bestFit="1" customWidth="1"/>
    <col min="11" max="11" width="9.7109375" bestFit="1" customWidth="1"/>
    <col min="12" max="12" width="14.42578125" bestFit="1" customWidth="1"/>
    <col min="13" max="13" width="9.7109375" bestFit="1" customWidth="1"/>
    <col min="14" max="14" width="12.85546875" bestFit="1" customWidth="1"/>
    <col min="15" max="15" width="14" bestFit="1" customWidth="1"/>
    <col min="16" max="16" width="10.28515625" bestFit="1" customWidth="1"/>
    <col min="17" max="17" width="33.28515625" bestFit="1" customWidth="1"/>
    <col min="18" max="18" width="12.5703125" bestFit="1" customWidth="1"/>
    <col min="19" max="19" width="19" bestFit="1" customWidth="1"/>
    <col min="20" max="20" width="14.42578125" bestFit="1" customWidth="1"/>
    <col min="21" max="21" width="13.7109375" bestFit="1" customWidth="1"/>
    <col min="22" max="22" width="22.140625" bestFit="1" customWidth="1"/>
    <col min="23" max="23" width="13.140625" bestFit="1" customWidth="1"/>
    <col min="24" max="24" width="11" bestFit="1" customWidth="1"/>
    <col min="25" max="25" width="13.28515625" bestFit="1" customWidth="1"/>
    <col min="26" max="26" width="15.5703125" bestFit="1" customWidth="1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25">
      <c r="A2" t="s">
        <v>26</v>
      </c>
      <c r="B2" t="s">
        <v>27</v>
      </c>
      <c r="D2" t="s">
        <v>28</v>
      </c>
      <c r="E2" s="7">
        <v>3133.2246789252599</v>
      </c>
      <c r="F2" s="8">
        <f>10000000*G2</f>
        <v>250000</v>
      </c>
      <c r="G2" s="9">
        <v>2.5000000000000001E-2</v>
      </c>
      <c r="H2" s="9">
        <v>4.3999999999999997E-2</v>
      </c>
      <c r="I2" t="s">
        <v>29</v>
      </c>
      <c r="J2" t="s">
        <v>30</v>
      </c>
      <c r="K2" s="10">
        <v>79.790000915527301</v>
      </c>
      <c r="L2" s="11">
        <v>45107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X2" t="s">
        <v>29</v>
      </c>
      <c r="Y2" t="s">
        <v>30</v>
      </c>
      <c r="Z2" t="s">
        <v>36</v>
      </c>
    </row>
    <row r="3" spans="1:26" x14ac:dyDescent="0.25">
      <c r="A3" t="s">
        <v>37</v>
      </c>
      <c r="B3" t="s">
        <v>38</v>
      </c>
      <c r="D3" t="s">
        <v>39</v>
      </c>
      <c r="E3" s="7">
        <v>540.13178503466997</v>
      </c>
      <c r="F3" s="8">
        <f t="shared" ref="F3:F21" si="0">10000000*G3</f>
        <v>250000</v>
      </c>
      <c r="G3" s="9">
        <v>2.5000000000000001E-2</v>
      </c>
      <c r="H3" s="9">
        <v>4.3999999999999997E-2</v>
      </c>
      <c r="I3" t="s">
        <v>29</v>
      </c>
      <c r="J3" t="s">
        <v>30</v>
      </c>
      <c r="K3" s="10">
        <v>462.850006103515</v>
      </c>
      <c r="L3" s="11">
        <v>45107</v>
      </c>
      <c r="M3" t="s">
        <v>31</v>
      </c>
      <c r="N3" t="s">
        <v>32</v>
      </c>
      <c r="O3" t="s">
        <v>33</v>
      </c>
      <c r="P3" t="s">
        <v>34</v>
      </c>
      <c r="Q3" t="s">
        <v>40</v>
      </c>
      <c r="X3" t="s">
        <v>29</v>
      </c>
      <c r="Y3" t="s">
        <v>30</v>
      </c>
      <c r="Z3" t="s">
        <v>36</v>
      </c>
    </row>
    <row r="4" spans="1:26" x14ac:dyDescent="0.25">
      <c r="A4" t="s">
        <v>41</v>
      </c>
      <c r="B4" t="s">
        <v>42</v>
      </c>
      <c r="D4" t="s">
        <v>43</v>
      </c>
      <c r="E4" s="7">
        <v>7616.1461636253698</v>
      </c>
      <c r="F4" s="8">
        <f t="shared" si="0"/>
        <v>200000</v>
      </c>
      <c r="G4" s="9">
        <v>0.02</v>
      </c>
      <c r="H4" s="9">
        <v>6.0499999999999998E-2</v>
      </c>
      <c r="I4" t="s">
        <v>29</v>
      </c>
      <c r="J4" t="s">
        <v>44</v>
      </c>
      <c r="K4" s="10">
        <v>26.2600002288818</v>
      </c>
      <c r="L4" s="11">
        <v>45107</v>
      </c>
      <c r="M4" t="s">
        <v>31</v>
      </c>
      <c r="N4" t="s">
        <v>32</v>
      </c>
      <c r="O4" t="s">
        <v>33</v>
      </c>
      <c r="P4" t="s">
        <v>45</v>
      </c>
      <c r="Q4" t="s">
        <v>46</v>
      </c>
      <c r="X4" t="s">
        <v>29</v>
      </c>
      <c r="Y4" t="s">
        <v>44</v>
      </c>
      <c r="Z4" t="s">
        <v>36</v>
      </c>
    </row>
    <row r="5" spans="1:26" x14ac:dyDescent="0.25">
      <c r="A5" t="s">
        <v>47</v>
      </c>
      <c r="B5" t="s">
        <v>48</v>
      </c>
      <c r="D5" t="s">
        <v>49</v>
      </c>
      <c r="E5" s="7">
        <v>1137.3976579007799</v>
      </c>
      <c r="F5" s="8">
        <f t="shared" si="0"/>
        <v>200000</v>
      </c>
      <c r="G5" s="9">
        <v>0.02</v>
      </c>
      <c r="H5" s="9">
        <v>5.1999999999999998E-2</v>
      </c>
      <c r="I5" t="s">
        <v>29</v>
      </c>
      <c r="J5" t="s">
        <v>30</v>
      </c>
      <c r="K5" s="10">
        <v>175.83999633789</v>
      </c>
      <c r="L5" s="11">
        <v>45107</v>
      </c>
      <c r="M5" t="s">
        <v>50</v>
      </c>
      <c r="N5" t="s">
        <v>51</v>
      </c>
      <c r="O5" t="s">
        <v>52</v>
      </c>
      <c r="P5" t="s">
        <v>45</v>
      </c>
      <c r="Q5" t="s">
        <v>53</v>
      </c>
      <c r="X5" t="s">
        <v>29</v>
      </c>
      <c r="Y5" t="s">
        <v>30</v>
      </c>
      <c r="Z5" t="s">
        <v>36</v>
      </c>
    </row>
    <row r="6" spans="1:26" x14ac:dyDescent="0.25">
      <c r="A6" t="s">
        <v>54</v>
      </c>
      <c r="B6" t="s">
        <v>55</v>
      </c>
      <c r="D6" t="s">
        <v>56</v>
      </c>
      <c r="E6" s="7">
        <v>858.36909871244598</v>
      </c>
      <c r="F6" s="8">
        <f t="shared" si="0"/>
        <v>200000</v>
      </c>
      <c r="G6" s="9">
        <v>0.02</v>
      </c>
      <c r="H6" s="9">
        <v>5.1999999999999998E-2</v>
      </c>
      <c r="I6" t="s">
        <v>29</v>
      </c>
      <c r="J6" t="s">
        <v>44</v>
      </c>
      <c r="K6" s="10">
        <v>233</v>
      </c>
      <c r="L6" s="11">
        <v>45107</v>
      </c>
      <c r="M6" t="s">
        <v>50</v>
      </c>
      <c r="N6" t="s">
        <v>57</v>
      </c>
      <c r="O6" t="s">
        <v>52</v>
      </c>
      <c r="P6" t="s">
        <v>45</v>
      </c>
      <c r="Q6" t="s">
        <v>58</v>
      </c>
      <c r="X6" t="s">
        <v>29</v>
      </c>
      <c r="Y6" t="s">
        <v>44</v>
      </c>
      <c r="Z6" t="s">
        <v>59</v>
      </c>
    </row>
    <row r="7" spans="1:26" x14ac:dyDescent="0.25">
      <c r="A7" t="s">
        <v>60</v>
      </c>
      <c r="B7" t="s">
        <v>61</v>
      </c>
      <c r="D7" t="s">
        <v>62</v>
      </c>
      <c r="E7" s="7">
        <v>2312.9409043598898</v>
      </c>
      <c r="F7" s="8">
        <f t="shared" si="0"/>
        <v>200000</v>
      </c>
      <c r="G7" s="9">
        <v>0.02</v>
      </c>
      <c r="H7" s="9">
        <v>5.1999999999999998E-2</v>
      </c>
      <c r="I7" t="s">
        <v>29</v>
      </c>
      <c r="J7" t="s">
        <v>44</v>
      </c>
      <c r="K7" s="10">
        <v>86.47</v>
      </c>
      <c r="L7" s="11">
        <v>45107</v>
      </c>
      <c r="M7" t="s">
        <v>31</v>
      </c>
      <c r="N7" t="s">
        <v>32</v>
      </c>
      <c r="O7" t="s">
        <v>33</v>
      </c>
      <c r="P7" t="s">
        <v>45</v>
      </c>
      <c r="Q7" t="s">
        <v>58</v>
      </c>
      <c r="X7" t="s">
        <v>29</v>
      </c>
      <c r="Y7" t="s">
        <v>44</v>
      </c>
      <c r="Z7" t="s">
        <v>59</v>
      </c>
    </row>
    <row r="8" spans="1:26" x14ac:dyDescent="0.25">
      <c r="A8" t="s">
        <v>63</v>
      </c>
      <c r="B8" t="s">
        <v>64</v>
      </c>
      <c r="D8" t="s">
        <v>65</v>
      </c>
      <c r="E8" s="7">
        <v>88809.944908793594</v>
      </c>
      <c r="F8" s="8">
        <f t="shared" si="0"/>
        <v>1000000</v>
      </c>
      <c r="G8" s="9">
        <v>0.1</v>
      </c>
      <c r="H8" s="9">
        <v>4.8000000000000001E-2</v>
      </c>
      <c r="I8" t="s">
        <v>66</v>
      </c>
      <c r="J8" t="s">
        <v>67</v>
      </c>
      <c r="K8" s="10">
        <v>11.2600002288818</v>
      </c>
      <c r="L8" s="11">
        <v>45107</v>
      </c>
      <c r="M8" t="s">
        <v>31</v>
      </c>
      <c r="N8" t="s">
        <v>32</v>
      </c>
      <c r="O8" t="s">
        <v>33</v>
      </c>
      <c r="P8" t="s">
        <v>68</v>
      </c>
      <c r="Q8" t="s">
        <v>69</v>
      </c>
      <c r="X8" t="s">
        <v>66</v>
      </c>
      <c r="Y8" t="s">
        <v>67</v>
      </c>
      <c r="Z8" t="s">
        <v>70</v>
      </c>
    </row>
    <row r="9" spans="1:26" x14ac:dyDescent="0.25">
      <c r="A9" t="s">
        <v>71</v>
      </c>
      <c r="B9" t="s">
        <v>72</v>
      </c>
      <c r="D9" t="s">
        <v>73</v>
      </c>
      <c r="E9" s="7">
        <v>86206.893716782695</v>
      </c>
      <c r="F9" s="8">
        <f t="shared" si="0"/>
        <v>1000000</v>
      </c>
      <c r="G9" s="9">
        <v>0.1</v>
      </c>
      <c r="H9" s="9">
        <v>4.8000000000000001E-2</v>
      </c>
      <c r="I9" t="s">
        <v>66</v>
      </c>
      <c r="J9" t="s">
        <v>67</v>
      </c>
      <c r="K9" s="10">
        <v>11.6000003814697</v>
      </c>
      <c r="L9" s="11">
        <v>45107</v>
      </c>
      <c r="M9" t="s">
        <v>31</v>
      </c>
      <c r="N9" t="s">
        <v>32</v>
      </c>
      <c r="O9" t="s">
        <v>33</v>
      </c>
      <c r="P9" t="s">
        <v>68</v>
      </c>
      <c r="Q9" t="s">
        <v>74</v>
      </c>
      <c r="X9" t="s">
        <v>66</v>
      </c>
      <c r="Y9" t="s">
        <v>67</v>
      </c>
      <c r="Z9" t="s">
        <v>75</v>
      </c>
    </row>
    <row r="10" spans="1:26" x14ac:dyDescent="0.25">
      <c r="A10" t="s">
        <v>76</v>
      </c>
      <c r="B10" t="s">
        <v>77</v>
      </c>
      <c r="D10" t="s">
        <v>78</v>
      </c>
      <c r="E10" s="7">
        <v>348061.85535851697</v>
      </c>
      <c r="F10" s="8">
        <f t="shared" si="0"/>
        <v>1900000</v>
      </c>
      <c r="G10" s="9">
        <v>0.19</v>
      </c>
      <c r="H10" s="9">
        <v>4.8000000000000001E-2</v>
      </c>
      <c r="I10" t="s">
        <v>66</v>
      </c>
      <c r="J10" t="s">
        <v>79</v>
      </c>
      <c r="K10" s="10">
        <v>5.4587998390197701</v>
      </c>
      <c r="L10" s="11">
        <v>45107</v>
      </c>
      <c r="M10" t="s">
        <v>31</v>
      </c>
      <c r="N10" t="s">
        <v>32</v>
      </c>
      <c r="O10" t="s">
        <v>33</v>
      </c>
      <c r="P10" t="s">
        <v>68</v>
      </c>
      <c r="Q10" t="s">
        <v>80</v>
      </c>
      <c r="X10" t="s">
        <v>66</v>
      </c>
      <c r="Y10" t="s">
        <v>79</v>
      </c>
      <c r="Z10" t="s">
        <v>75</v>
      </c>
    </row>
    <row r="11" spans="1:26" x14ac:dyDescent="0.25">
      <c r="A11" t="s">
        <v>81</v>
      </c>
      <c r="B11" t="s">
        <v>82</v>
      </c>
      <c r="D11" t="s">
        <v>83</v>
      </c>
      <c r="E11" s="7">
        <v>345140.77393311</v>
      </c>
      <c r="F11" s="8">
        <f t="shared" si="0"/>
        <v>1900000</v>
      </c>
      <c r="G11" s="9">
        <v>0.19</v>
      </c>
      <c r="H11" s="9">
        <v>4.8000000000000001E-2</v>
      </c>
      <c r="I11" t="s">
        <v>66</v>
      </c>
      <c r="J11" t="s">
        <v>79</v>
      </c>
      <c r="K11" s="10">
        <v>5.50500011444091</v>
      </c>
      <c r="L11" s="11">
        <v>45107</v>
      </c>
      <c r="M11" t="s">
        <v>31</v>
      </c>
      <c r="N11" t="s">
        <v>32</v>
      </c>
      <c r="O11" t="s">
        <v>33</v>
      </c>
      <c r="P11" t="s">
        <v>68</v>
      </c>
      <c r="Q11" t="s">
        <v>69</v>
      </c>
      <c r="X11" t="s">
        <v>66</v>
      </c>
      <c r="Y11" t="s">
        <v>79</v>
      </c>
      <c r="Z11" t="s">
        <v>70</v>
      </c>
    </row>
    <row r="12" spans="1:26" x14ac:dyDescent="0.25">
      <c r="A12" t="s">
        <v>84</v>
      </c>
      <c r="B12" t="s">
        <v>85</v>
      </c>
      <c r="D12" t="s">
        <v>86</v>
      </c>
      <c r="E12" s="7">
        <v>8154.0203850509597</v>
      </c>
      <c r="F12" s="8">
        <f t="shared" si="0"/>
        <v>900000</v>
      </c>
      <c r="G12" s="9">
        <v>0.09</v>
      </c>
      <c r="H12" s="9">
        <v>4.8000000000000001E-2</v>
      </c>
      <c r="I12" t="s">
        <v>66</v>
      </c>
      <c r="J12" t="s">
        <v>79</v>
      </c>
      <c r="K12" s="10">
        <v>110.375</v>
      </c>
      <c r="L12" s="11">
        <v>45107</v>
      </c>
      <c r="M12" t="s">
        <v>87</v>
      </c>
      <c r="N12" t="s">
        <v>88</v>
      </c>
      <c r="O12" t="s">
        <v>89</v>
      </c>
      <c r="P12" t="s">
        <v>68</v>
      </c>
      <c r="Q12" t="s">
        <v>74</v>
      </c>
      <c r="X12" t="s">
        <v>66</v>
      </c>
      <c r="Y12" t="s">
        <v>79</v>
      </c>
      <c r="Z12" t="s">
        <v>75</v>
      </c>
    </row>
    <row r="13" spans="1:26" x14ac:dyDescent="0.25">
      <c r="A13" t="s">
        <v>90</v>
      </c>
      <c r="B13" t="s">
        <v>91</v>
      </c>
      <c r="D13" t="s">
        <v>92</v>
      </c>
      <c r="E13" s="7">
        <v>8591.0652920962202</v>
      </c>
      <c r="F13" s="8">
        <f t="shared" si="0"/>
        <v>200000</v>
      </c>
      <c r="G13" s="9">
        <v>0.02</v>
      </c>
      <c r="H13" s="9">
        <v>7.0999999999999994E-2</v>
      </c>
      <c r="I13" t="s">
        <v>66</v>
      </c>
      <c r="J13" t="s">
        <v>67</v>
      </c>
      <c r="K13" s="10">
        <v>23.28</v>
      </c>
      <c r="L13" s="11">
        <v>45107</v>
      </c>
      <c r="M13" t="s">
        <v>87</v>
      </c>
      <c r="N13" t="s">
        <v>88</v>
      </c>
      <c r="O13" t="s">
        <v>89</v>
      </c>
      <c r="P13" t="s">
        <v>68</v>
      </c>
      <c r="Q13" t="s">
        <v>80</v>
      </c>
      <c r="X13" t="s">
        <v>66</v>
      </c>
      <c r="Y13" t="s">
        <v>67</v>
      </c>
      <c r="Z13" t="s">
        <v>70</v>
      </c>
    </row>
    <row r="14" spans="1:26" x14ac:dyDescent="0.25">
      <c r="A14" t="s">
        <v>93</v>
      </c>
      <c r="B14" t="s">
        <v>94</v>
      </c>
      <c r="D14" t="s">
        <v>95</v>
      </c>
      <c r="E14" s="7">
        <v>5643.3408577878099</v>
      </c>
      <c r="F14" s="8">
        <f t="shared" si="0"/>
        <v>200000</v>
      </c>
      <c r="G14" s="9">
        <v>0.02</v>
      </c>
      <c r="H14" s="9">
        <v>7.0999999999999994E-2</v>
      </c>
      <c r="I14" t="s">
        <v>66</v>
      </c>
      <c r="J14" t="s">
        <v>67</v>
      </c>
      <c r="K14" s="10">
        <v>35.44</v>
      </c>
      <c r="L14" s="11">
        <v>45107</v>
      </c>
      <c r="M14" t="s">
        <v>31</v>
      </c>
      <c r="N14" t="s">
        <v>32</v>
      </c>
      <c r="O14" t="s">
        <v>33</v>
      </c>
      <c r="P14" t="s">
        <v>68</v>
      </c>
      <c r="Q14" t="s">
        <v>69</v>
      </c>
      <c r="X14" t="s">
        <v>66</v>
      </c>
      <c r="Y14" t="s">
        <v>67</v>
      </c>
      <c r="Z14" t="s">
        <v>75</v>
      </c>
    </row>
    <row r="15" spans="1:26" x14ac:dyDescent="0.25">
      <c r="A15" t="s">
        <v>96</v>
      </c>
      <c r="B15" t="s">
        <v>97</v>
      </c>
      <c r="D15" t="s">
        <v>98</v>
      </c>
      <c r="E15" s="7">
        <v>2428.0683905682999</v>
      </c>
      <c r="F15" s="8">
        <f t="shared" si="0"/>
        <v>200000</v>
      </c>
      <c r="G15" s="9">
        <v>0.02</v>
      </c>
      <c r="H15" s="9">
        <v>7.0999999999999994E-2</v>
      </c>
      <c r="I15" t="s">
        <v>66</v>
      </c>
      <c r="J15" t="s">
        <v>79</v>
      </c>
      <c r="K15" s="10">
        <v>82.370002746582003</v>
      </c>
      <c r="L15" s="11">
        <v>45107</v>
      </c>
      <c r="M15" t="s">
        <v>31</v>
      </c>
      <c r="N15" t="s">
        <v>32</v>
      </c>
      <c r="O15" t="s">
        <v>33</v>
      </c>
      <c r="P15" t="s">
        <v>68</v>
      </c>
      <c r="Q15" t="s">
        <v>74</v>
      </c>
      <c r="X15" t="s">
        <v>66</v>
      </c>
      <c r="Y15" t="s">
        <v>79</v>
      </c>
      <c r="Z15" t="s">
        <v>75</v>
      </c>
    </row>
    <row r="16" spans="1:26" x14ac:dyDescent="0.25">
      <c r="A16" t="s">
        <v>99</v>
      </c>
      <c r="B16" t="s">
        <v>100</v>
      </c>
      <c r="C16" t="s">
        <v>100</v>
      </c>
      <c r="D16" t="s">
        <v>101</v>
      </c>
      <c r="E16" s="7">
        <v>72909.0415921229</v>
      </c>
      <c r="F16" s="8">
        <f t="shared" si="0"/>
        <v>150000</v>
      </c>
      <c r="G16" s="9">
        <v>1.4999999999999999E-2</v>
      </c>
      <c r="H16" s="9">
        <v>0.05</v>
      </c>
      <c r="I16" t="s">
        <v>102</v>
      </c>
      <c r="J16" t="s">
        <v>103</v>
      </c>
      <c r="K16" s="10">
        <v>2.0573580001112699</v>
      </c>
      <c r="L16" s="11">
        <v>45107</v>
      </c>
      <c r="M16" t="s">
        <v>31</v>
      </c>
      <c r="N16" t="s">
        <v>32</v>
      </c>
      <c r="O16" t="s">
        <v>33</v>
      </c>
      <c r="P16" t="s">
        <v>68</v>
      </c>
      <c r="Q16" t="s">
        <v>80</v>
      </c>
      <c r="X16" t="s">
        <v>102</v>
      </c>
      <c r="Y16" t="s">
        <v>103</v>
      </c>
      <c r="Z16" t="s">
        <v>103</v>
      </c>
    </row>
    <row r="17" spans="1:26" x14ac:dyDescent="0.25">
      <c r="A17" t="s">
        <v>104</v>
      </c>
      <c r="B17" t="s">
        <v>105</v>
      </c>
      <c r="C17" t="s">
        <v>105</v>
      </c>
      <c r="D17" t="s">
        <v>106</v>
      </c>
      <c r="E17" s="7">
        <v>93134.278359645105</v>
      </c>
      <c r="F17" s="8">
        <f t="shared" si="0"/>
        <v>150000</v>
      </c>
      <c r="G17" s="9">
        <v>1.4999999999999999E-2</v>
      </c>
      <c r="H17" s="9">
        <v>0.05</v>
      </c>
      <c r="I17" t="s">
        <v>102</v>
      </c>
      <c r="J17" t="s">
        <v>103</v>
      </c>
      <c r="K17" s="10">
        <v>1.6105777877052201</v>
      </c>
      <c r="L17" s="11">
        <v>45107</v>
      </c>
      <c r="M17" t="s">
        <v>31</v>
      </c>
      <c r="N17" t="s">
        <v>32</v>
      </c>
      <c r="O17" t="s">
        <v>33</v>
      </c>
      <c r="P17" t="s">
        <v>68</v>
      </c>
      <c r="Q17" t="s">
        <v>69</v>
      </c>
      <c r="X17" t="s">
        <v>102</v>
      </c>
      <c r="Y17" t="s">
        <v>103</v>
      </c>
      <c r="Z17" t="s">
        <v>103</v>
      </c>
    </row>
    <row r="18" spans="1:26" x14ac:dyDescent="0.25">
      <c r="A18" t="s">
        <v>107</v>
      </c>
      <c r="B18" t="s">
        <v>108</v>
      </c>
      <c r="C18" t="s">
        <v>108</v>
      </c>
      <c r="D18" t="s">
        <v>109</v>
      </c>
      <c r="E18" s="7">
        <v>164980.25120397101</v>
      </c>
      <c r="F18" s="8">
        <f t="shared" si="0"/>
        <v>200000</v>
      </c>
      <c r="G18" s="9">
        <v>0.02</v>
      </c>
      <c r="H18" s="9">
        <v>9.2999999999999999E-2</v>
      </c>
      <c r="I18" t="s">
        <v>102</v>
      </c>
      <c r="J18" t="s">
        <v>110</v>
      </c>
      <c r="K18" s="10">
        <v>1.2122663078790701</v>
      </c>
      <c r="L18" s="11">
        <v>45107</v>
      </c>
      <c r="M18" t="s">
        <v>31</v>
      </c>
      <c r="N18" t="s">
        <v>32</v>
      </c>
      <c r="O18" t="s">
        <v>33</v>
      </c>
      <c r="P18" t="s">
        <v>68</v>
      </c>
      <c r="Q18" t="s">
        <v>74</v>
      </c>
      <c r="X18" t="s">
        <v>102</v>
      </c>
      <c r="Y18" t="s">
        <v>110</v>
      </c>
      <c r="Z18" t="s">
        <v>110</v>
      </c>
    </row>
    <row r="19" spans="1:26" x14ac:dyDescent="0.25">
      <c r="A19" t="s">
        <v>111</v>
      </c>
      <c r="B19" t="s">
        <v>112</v>
      </c>
      <c r="C19" t="s">
        <v>112</v>
      </c>
      <c r="D19" t="s">
        <v>113</v>
      </c>
      <c r="E19" s="7">
        <v>173246.43870251501</v>
      </c>
      <c r="F19" s="8">
        <f t="shared" si="0"/>
        <v>200000</v>
      </c>
      <c r="G19" s="9">
        <v>0.02</v>
      </c>
      <c r="H19" s="9">
        <v>9.2999999999999999E-2</v>
      </c>
      <c r="I19" t="s">
        <v>102</v>
      </c>
      <c r="J19" t="s">
        <v>110</v>
      </c>
      <c r="K19" s="10">
        <v>1.1544248845623999</v>
      </c>
      <c r="L19" s="11">
        <v>45107</v>
      </c>
      <c r="M19" t="s">
        <v>31</v>
      </c>
      <c r="N19" t="s">
        <v>32</v>
      </c>
      <c r="O19" t="s">
        <v>33</v>
      </c>
      <c r="P19" t="s">
        <v>68</v>
      </c>
      <c r="Q19" t="s">
        <v>80</v>
      </c>
      <c r="X19" t="s">
        <v>102</v>
      </c>
      <c r="Y19" t="s">
        <v>110</v>
      </c>
      <c r="Z19" t="s">
        <v>110</v>
      </c>
    </row>
    <row r="20" spans="1:26" x14ac:dyDescent="0.25">
      <c r="A20" t="s">
        <v>114</v>
      </c>
      <c r="B20" t="s">
        <v>115</v>
      </c>
      <c r="C20" t="s">
        <v>115</v>
      </c>
      <c r="D20" t="s">
        <v>116</v>
      </c>
      <c r="E20" s="7">
        <v>200000</v>
      </c>
      <c r="F20" s="8">
        <f t="shared" si="0"/>
        <v>200000</v>
      </c>
      <c r="G20" s="9">
        <v>0.02</v>
      </c>
      <c r="H20" s="9">
        <v>9.2999999999999999E-2</v>
      </c>
      <c r="I20" t="s">
        <v>102</v>
      </c>
      <c r="J20" t="s">
        <v>110</v>
      </c>
      <c r="K20" s="10">
        <v>1</v>
      </c>
      <c r="L20" s="11">
        <v>45107</v>
      </c>
      <c r="M20" t="s">
        <v>31</v>
      </c>
      <c r="N20" t="s">
        <v>32</v>
      </c>
      <c r="O20" t="s">
        <v>33</v>
      </c>
      <c r="P20" t="s">
        <v>68</v>
      </c>
      <c r="Q20" t="s">
        <v>80</v>
      </c>
      <c r="X20" t="s">
        <v>102</v>
      </c>
      <c r="Y20" t="s">
        <v>110</v>
      </c>
      <c r="Z20" t="s">
        <v>110</v>
      </c>
    </row>
    <row r="21" spans="1:26" x14ac:dyDescent="0.25">
      <c r="A21" t="s">
        <v>117</v>
      </c>
      <c r="B21" t="s">
        <v>118</v>
      </c>
      <c r="D21" t="s">
        <v>119</v>
      </c>
      <c r="E21" s="7">
        <v>499999.99999999901</v>
      </c>
      <c r="F21" s="8">
        <f t="shared" si="0"/>
        <v>499999.99999999936</v>
      </c>
      <c r="G21" s="9">
        <f>1-SUM(G2:G20)</f>
        <v>4.9999999999999933E-2</v>
      </c>
      <c r="H21" s="9">
        <v>3.6999999999999998E-2</v>
      </c>
      <c r="I21" t="s">
        <v>117</v>
      </c>
      <c r="J21" t="s">
        <v>117</v>
      </c>
      <c r="K21" s="10">
        <v>1</v>
      </c>
      <c r="L21" s="11">
        <v>45107</v>
      </c>
      <c r="M21" t="s">
        <v>31</v>
      </c>
      <c r="N21" t="s">
        <v>32</v>
      </c>
      <c r="O21" t="s">
        <v>33</v>
      </c>
      <c r="P21" t="s">
        <v>68</v>
      </c>
      <c r="Q21" t="s">
        <v>80</v>
      </c>
      <c r="X21" t="s">
        <v>117</v>
      </c>
      <c r="Y21" t="s">
        <v>117</v>
      </c>
      <c r="Z21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workbookViewId="0"/>
  </sheetViews>
  <sheetFormatPr defaultRowHeight="15" x14ac:dyDescent="0.25"/>
  <sheetData>
    <row r="1" spans="1:27" x14ac:dyDescent="0.25">
      <c r="A1" t="s">
        <v>137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>
        <v>0</v>
      </c>
      <c r="B2" t="s">
        <v>26</v>
      </c>
      <c r="C2" t="s">
        <v>27</v>
      </c>
      <c r="E2" t="s">
        <v>28</v>
      </c>
      <c r="F2">
        <v>3133.2246789252599</v>
      </c>
      <c r="G2" s="20">
        <v>250000</v>
      </c>
      <c r="H2">
        <v>2.5000000000000001E-2</v>
      </c>
      <c r="I2">
        <v>4.3999999999999997E-2</v>
      </c>
      <c r="J2" t="s">
        <v>29</v>
      </c>
      <c r="K2" t="s">
        <v>30</v>
      </c>
      <c r="L2">
        <v>79.790000915527301</v>
      </c>
      <c r="M2" s="11">
        <v>45107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Y2" t="s">
        <v>29</v>
      </c>
      <c r="Z2" t="s">
        <v>30</v>
      </c>
      <c r="AA2" t="s">
        <v>36</v>
      </c>
    </row>
    <row r="3" spans="1:27" x14ac:dyDescent="0.25">
      <c r="A3">
        <v>1</v>
      </c>
      <c r="B3" t="s">
        <v>37</v>
      </c>
      <c r="C3" t="s">
        <v>38</v>
      </c>
      <c r="E3" t="s">
        <v>39</v>
      </c>
      <c r="F3">
        <v>540.13178503466997</v>
      </c>
      <c r="G3" s="20">
        <v>250000</v>
      </c>
      <c r="H3">
        <v>2.5000000000000001E-2</v>
      </c>
      <c r="I3">
        <v>4.3999999999999997E-2</v>
      </c>
      <c r="J3" t="s">
        <v>29</v>
      </c>
      <c r="K3" t="s">
        <v>30</v>
      </c>
      <c r="L3">
        <v>462.850006103515</v>
      </c>
      <c r="M3" s="11">
        <v>45107</v>
      </c>
      <c r="N3" t="s">
        <v>31</v>
      </c>
      <c r="O3" t="s">
        <v>32</v>
      </c>
      <c r="P3" t="s">
        <v>33</v>
      </c>
      <c r="Q3" t="s">
        <v>34</v>
      </c>
      <c r="R3" t="s">
        <v>40</v>
      </c>
      <c r="Y3" t="s">
        <v>29</v>
      </c>
      <c r="Z3" t="s">
        <v>30</v>
      </c>
      <c r="AA3" t="s">
        <v>36</v>
      </c>
    </row>
    <row r="4" spans="1:27" x14ac:dyDescent="0.25">
      <c r="A4">
        <v>2</v>
      </c>
      <c r="B4" t="s">
        <v>41</v>
      </c>
      <c r="C4" t="s">
        <v>42</v>
      </c>
      <c r="E4" t="s">
        <v>43</v>
      </c>
      <c r="F4">
        <v>7616.1461636253698</v>
      </c>
      <c r="G4" s="20">
        <v>200000</v>
      </c>
      <c r="H4">
        <v>0.02</v>
      </c>
      <c r="I4">
        <v>6.0499999999999998E-2</v>
      </c>
      <c r="J4" t="s">
        <v>29</v>
      </c>
      <c r="K4" t="s">
        <v>44</v>
      </c>
      <c r="L4">
        <v>26.2600002288818</v>
      </c>
      <c r="M4" s="11">
        <v>45107</v>
      </c>
      <c r="N4" t="s">
        <v>31</v>
      </c>
      <c r="O4" t="s">
        <v>32</v>
      </c>
      <c r="P4" t="s">
        <v>33</v>
      </c>
      <c r="Q4" t="s">
        <v>45</v>
      </c>
      <c r="R4" t="s">
        <v>46</v>
      </c>
      <c r="Y4" t="s">
        <v>29</v>
      </c>
      <c r="Z4" t="s">
        <v>44</v>
      </c>
      <c r="AA4" t="s">
        <v>36</v>
      </c>
    </row>
    <row r="5" spans="1:27" x14ac:dyDescent="0.25">
      <c r="A5">
        <v>3</v>
      </c>
      <c r="B5" t="s">
        <v>47</v>
      </c>
      <c r="C5" t="s">
        <v>48</v>
      </c>
      <c r="E5" t="s">
        <v>49</v>
      </c>
      <c r="F5">
        <v>1137.3976579007799</v>
      </c>
      <c r="G5" s="20">
        <v>200000</v>
      </c>
      <c r="H5">
        <v>0.02</v>
      </c>
      <c r="I5">
        <v>5.1999999999999998E-2</v>
      </c>
      <c r="J5" t="s">
        <v>29</v>
      </c>
      <c r="K5" t="s">
        <v>30</v>
      </c>
      <c r="L5">
        <v>175.83999633789</v>
      </c>
      <c r="M5" s="11">
        <v>45107</v>
      </c>
      <c r="N5" t="s">
        <v>50</v>
      </c>
      <c r="O5" t="s">
        <v>51</v>
      </c>
      <c r="P5" t="s">
        <v>52</v>
      </c>
      <c r="Q5" t="s">
        <v>45</v>
      </c>
      <c r="R5" t="s">
        <v>53</v>
      </c>
      <c r="Y5" t="s">
        <v>29</v>
      </c>
      <c r="Z5" t="s">
        <v>30</v>
      </c>
      <c r="AA5" t="s">
        <v>36</v>
      </c>
    </row>
    <row r="6" spans="1:27" x14ac:dyDescent="0.25">
      <c r="A6">
        <v>4</v>
      </c>
      <c r="B6" t="s">
        <v>54</v>
      </c>
      <c r="C6" t="s">
        <v>55</v>
      </c>
      <c r="E6" t="s">
        <v>56</v>
      </c>
      <c r="F6">
        <v>858.36909871244598</v>
      </c>
      <c r="G6" s="20">
        <v>200000</v>
      </c>
      <c r="H6">
        <v>0.02</v>
      </c>
      <c r="I6">
        <v>5.1999999999999998E-2</v>
      </c>
      <c r="J6" t="s">
        <v>29</v>
      </c>
      <c r="K6" t="s">
        <v>44</v>
      </c>
      <c r="L6">
        <v>233</v>
      </c>
      <c r="M6" s="11">
        <v>45107</v>
      </c>
      <c r="N6" t="s">
        <v>50</v>
      </c>
      <c r="O6" t="s">
        <v>57</v>
      </c>
      <c r="P6" t="s">
        <v>52</v>
      </c>
      <c r="Q6" t="s">
        <v>45</v>
      </c>
      <c r="R6" t="s">
        <v>58</v>
      </c>
      <c r="Y6" t="s">
        <v>29</v>
      </c>
      <c r="Z6" t="s">
        <v>44</v>
      </c>
      <c r="AA6" t="s">
        <v>59</v>
      </c>
    </row>
    <row r="7" spans="1:27" x14ac:dyDescent="0.25">
      <c r="A7">
        <v>5</v>
      </c>
      <c r="B7" t="s">
        <v>60</v>
      </c>
      <c r="C7" t="s">
        <v>61</v>
      </c>
      <c r="E7" t="s">
        <v>62</v>
      </c>
      <c r="F7">
        <v>2312.9409043598898</v>
      </c>
      <c r="G7" s="20">
        <v>200000</v>
      </c>
      <c r="H7">
        <v>0.02</v>
      </c>
      <c r="I7">
        <v>5.1999999999999998E-2</v>
      </c>
      <c r="J7" t="s">
        <v>29</v>
      </c>
      <c r="K7" t="s">
        <v>44</v>
      </c>
      <c r="L7">
        <v>86.47</v>
      </c>
      <c r="M7" s="11">
        <v>45107</v>
      </c>
      <c r="N7" t="s">
        <v>31</v>
      </c>
      <c r="O7" t="s">
        <v>32</v>
      </c>
      <c r="P7" t="s">
        <v>33</v>
      </c>
      <c r="Q7" t="s">
        <v>45</v>
      </c>
      <c r="R7" t="s">
        <v>58</v>
      </c>
      <c r="Y7" t="s">
        <v>29</v>
      </c>
      <c r="Z7" t="s">
        <v>44</v>
      </c>
      <c r="AA7" t="s">
        <v>59</v>
      </c>
    </row>
    <row r="8" spans="1:27" x14ac:dyDescent="0.25">
      <c r="A8">
        <v>6</v>
      </c>
      <c r="B8" t="s">
        <v>63</v>
      </c>
      <c r="C8" t="s">
        <v>64</v>
      </c>
      <c r="E8" t="s">
        <v>65</v>
      </c>
      <c r="F8">
        <v>88809.944908793594</v>
      </c>
      <c r="G8" s="20">
        <v>1000000</v>
      </c>
      <c r="H8">
        <v>0.1</v>
      </c>
      <c r="I8">
        <v>4.8000000000000001E-2</v>
      </c>
      <c r="J8" t="s">
        <v>66</v>
      </c>
      <c r="K8" t="s">
        <v>67</v>
      </c>
      <c r="L8">
        <v>11.2600002288818</v>
      </c>
      <c r="M8" s="11">
        <v>45107</v>
      </c>
      <c r="N8" t="s">
        <v>31</v>
      </c>
      <c r="O8" t="s">
        <v>32</v>
      </c>
      <c r="P8" t="s">
        <v>33</v>
      </c>
      <c r="Q8" t="s">
        <v>68</v>
      </c>
      <c r="R8" t="s">
        <v>69</v>
      </c>
      <c r="Y8" t="s">
        <v>66</v>
      </c>
      <c r="Z8" t="s">
        <v>67</v>
      </c>
      <c r="AA8" t="s">
        <v>70</v>
      </c>
    </row>
    <row r="9" spans="1:27" x14ac:dyDescent="0.25">
      <c r="A9">
        <v>7</v>
      </c>
      <c r="B9" t="s">
        <v>71</v>
      </c>
      <c r="C9" t="s">
        <v>72</v>
      </c>
      <c r="E9" t="s">
        <v>73</v>
      </c>
      <c r="F9">
        <v>86206.893716782695</v>
      </c>
      <c r="G9" s="20">
        <v>1000000</v>
      </c>
      <c r="H9">
        <v>0.1</v>
      </c>
      <c r="I9">
        <v>4.8000000000000001E-2</v>
      </c>
      <c r="J9" t="s">
        <v>66</v>
      </c>
      <c r="K9" t="s">
        <v>67</v>
      </c>
      <c r="L9">
        <v>11.6000003814697</v>
      </c>
      <c r="M9" s="11">
        <v>45107</v>
      </c>
      <c r="N9" t="s">
        <v>31</v>
      </c>
      <c r="O9" t="s">
        <v>32</v>
      </c>
      <c r="P9" t="s">
        <v>33</v>
      </c>
      <c r="Q9" t="s">
        <v>68</v>
      </c>
      <c r="R9" t="s">
        <v>74</v>
      </c>
      <c r="Y9" t="s">
        <v>66</v>
      </c>
      <c r="Z9" t="s">
        <v>67</v>
      </c>
      <c r="AA9" t="s">
        <v>75</v>
      </c>
    </row>
    <row r="10" spans="1:27" x14ac:dyDescent="0.25">
      <c r="A10">
        <v>8</v>
      </c>
      <c r="B10" t="s">
        <v>76</v>
      </c>
      <c r="C10" t="s">
        <v>77</v>
      </c>
      <c r="E10" t="s">
        <v>78</v>
      </c>
      <c r="F10">
        <v>348061.85535851697</v>
      </c>
      <c r="G10" s="20">
        <v>1900000</v>
      </c>
      <c r="H10">
        <v>0.19</v>
      </c>
      <c r="I10">
        <v>4.8000000000000001E-2</v>
      </c>
      <c r="J10" t="s">
        <v>66</v>
      </c>
      <c r="K10" t="s">
        <v>79</v>
      </c>
      <c r="L10">
        <v>5.4587998390197701</v>
      </c>
      <c r="M10" s="11">
        <v>45107</v>
      </c>
      <c r="N10" t="s">
        <v>31</v>
      </c>
      <c r="O10" t="s">
        <v>32</v>
      </c>
      <c r="P10" t="s">
        <v>33</v>
      </c>
      <c r="Q10" t="s">
        <v>68</v>
      </c>
      <c r="R10" t="s">
        <v>80</v>
      </c>
      <c r="Y10" t="s">
        <v>66</v>
      </c>
      <c r="Z10" t="s">
        <v>79</v>
      </c>
      <c r="AA10" t="s">
        <v>75</v>
      </c>
    </row>
    <row r="11" spans="1:27" x14ac:dyDescent="0.25">
      <c r="A11">
        <v>9</v>
      </c>
      <c r="B11" t="s">
        <v>81</v>
      </c>
      <c r="C11" t="s">
        <v>82</v>
      </c>
      <c r="E11" t="s">
        <v>83</v>
      </c>
      <c r="F11">
        <v>345140.77393311</v>
      </c>
      <c r="G11" s="20">
        <v>1900000</v>
      </c>
      <c r="H11">
        <v>0.19</v>
      </c>
      <c r="I11">
        <v>4.8000000000000001E-2</v>
      </c>
      <c r="J11" t="s">
        <v>66</v>
      </c>
      <c r="K11" t="s">
        <v>79</v>
      </c>
      <c r="L11">
        <v>5.50500011444091</v>
      </c>
      <c r="M11" s="11">
        <v>45107</v>
      </c>
      <c r="N11" t="s">
        <v>31</v>
      </c>
      <c r="O11" t="s">
        <v>32</v>
      </c>
      <c r="P11" t="s">
        <v>33</v>
      </c>
      <c r="Q11" t="s">
        <v>68</v>
      </c>
      <c r="R11" t="s">
        <v>69</v>
      </c>
      <c r="Y11" t="s">
        <v>66</v>
      </c>
      <c r="Z11" t="s">
        <v>79</v>
      </c>
      <c r="AA11" t="s">
        <v>70</v>
      </c>
    </row>
    <row r="12" spans="1:27" x14ac:dyDescent="0.25">
      <c r="A12">
        <v>10</v>
      </c>
      <c r="B12" t="s">
        <v>84</v>
      </c>
      <c r="C12" t="s">
        <v>85</v>
      </c>
      <c r="E12" t="s">
        <v>86</v>
      </c>
      <c r="F12">
        <v>8154.0203850509597</v>
      </c>
      <c r="G12" s="20">
        <v>900000</v>
      </c>
      <c r="H12">
        <v>0.09</v>
      </c>
      <c r="I12">
        <v>4.8000000000000001E-2</v>
      </c>
      <c r="J12" t="s">
        <v>66</v>
      </c>
      <c r="K12" t="s">
        <v>79</v>
      </c>
      <c r="L12">
        <v>110.375</v>
      </c>
      <c r="M12" s="11">
        <v>45107</v>
      </c>
      <c r="N12" t="s">
        <v>87</v>
      </c>
      <c r="O12" t="s">
        <v>88</v>
      </c>
      <c r="P12" t="s">
        <v>89</v>
      </c>
      <c r="Q12" t="s">
        <v>68</v>
      </c>
      <c r="R12" t="s">
        <v>74</v>
      </c>
      <c r="Y12" t="s">
        <v>66</v>
      </c>
      <c r="Z12" t="s">
        <v>79</v>
      </c>
      <c r="AA12" t="s">
        <v>75</v>
      </c>
    </row>
    <row r="13" spans="1:27" x14ac:dyDescent="0.25">
      <c r="A13">
        <v>11</v>
      </c>
      <c r="B13" t="s">
        <v>90</v>
      </c>
      <c r="C13" t="s">
        <v>91</v>
      </c>
      <c r="E13" t="s">
        <v>92</v>
      </c>
      <c r="F13">
        <v>8591.0652920962202</v>
      </c>
      <c r="G13" s="20">
        <v>200000</v>
      </c>
      <c r="H13">
        <v>0.02</v>
      </c>
      <c r="I13">
        <v>7.0999999999999994E-2</v>
      </c>
      <c r="J13" t="s">
        <v>66</v>
      </c>
      <c r="K13" t="s">
        <v>67</v>
      </c>
      <c r="L13">
        <v>23.28</v>
      </c>
      <c r="M13" s="11">
        <v>45107</v>
      </c>
      <c r="N13" t="s">
        <v>87</v>
      </c>
      <c r="O13" t="s">
        <v>88</v>
      </c>
      <c r="P13" t="s">
        <v>89</v>
      </c>
      <c r="Q13" t="s">
        <v>68</v>
      </c>
      <c r="R13" t="s">
        <v>80</v>
      </c>
      <c r="Y13" t="s">
        <v>66</v>
      </c>
      <c r="Z13" t="s">
        <v>67</v>
      </c>
      <c r="AA13" t="s">
        <v>70</v>
      </c>
    </row>
    <row r="14" spans="1:27" x14ac:dyDescent="0.25">
      <c r="A14">
        <v>12</v>
      </c>
      <c r="B14" t="s">
        <v>93</v>
      </c>
      <c r="C14" t="s">
        <v>94</v>
      </c>
      <c r="E14" t="s">
        <v>95</v>
      </c>
      <c r="F14">
        <v>5643.3408577878099</v>
      </c>
      <c r="G14" s="20">
        <v>200000</v>
      </c>
      <c r="H14">
        <v>0.02</v>
      </c>
      <c r="I14">
        <v>7.0999999999999994E-2</v>
      </c>
      <c r="J14" t="s">
        <v>66</v>
      </c>
      <c r="K14" t="s">
        <v>67</v>
      </c>
      <c r="L14">
        <v>35.44</v>
      </c>
      <c r="M14" s="11">
        <v>45107</v>
      </c>
      <c r="N14" t="s">
        <v>31</v>
      </c>
      <c r="O14" t="s">
        <v>32</v>
      </c>
      <c r="P14" t="s">
        <v>33</v>
      </c>
      <c r="Q14" t="s">
        <v>68</v>
      </c>
      <c r="R14" t="s">
        <v>69</v>
      </c>
      <c r="Y14" t="s">
        <v>66</v>
      </c>
      <c r="Z14" t="s">
        <v>67</v>
      </c>
      <c r="AA14" t="s">
        <v>75</v>
      </c>
    </row>
    <row r="15" spans="1:27" x14ac:dyDescent="0.25">
      <c r="A15">
        <v>13</v>
      </c>
      <c r="B15" t="s">
        <v>96</v>
      </c>
      <c r="C15" t="s">
        <v>97</v>
      </c>
      <c r="E15" t="s">
        <v>98</v>
      </c>
      <c r="F15">
        <v>2428.0683905682999</v>
      </c>
      <c r="G15" s="20">
        <v>200000</v>
      </c>
      <c r="H15">
        <v>0.02</v>
      </c>
      <c r="I15">
        <v>7.0999999999999994E-2</v>
      </c>
      <c r="J15" t="s">
        <v>66</v>
      </c>
      <c r="K15" t="s">
        <v>79</v>
      </c>
      <c r="L15">
        <v>82.370002746582003</v>
      </c>
      <c r="M15" s="11">
        <v>45107</v>
      </c>
      <c r="N15" t="s">
        <v>31</v>
      </c>
      <c r="O15" t="s">
        <v>32</v>
      </c>
      <c r="P15" t="s">
        <v>33</v>
      </c>
      <c r="Q15" t="s">
        <v>68</v>
      </c>
      <c r="R15" t="s">
        <v>74</v>
      </c>
      <c r="Y15" t="s">
        <v>66</v>
      </c>
      <c r="Z15" t="s">
        <v>79</v>
      </c>
      <c r="AA15" t="s">
        <v>75</v>
      </c>
    </row>
    <row r="16" spans="1:27" x14ac:dyDescent="0.25">
      <c r="A16">
        <v>14</v>
      </c>
      <c r="B16" t="s">
        <v>99</v>
      </c>
      <c r="C16" t="s">
        <v>100</v>
      </c>
      <c r="D16" t="s">
        <v>100</v>
      </c>
      <c r="E16" t="s">
        <v>101</v>
      </c>
      <c r="F16">
        <v>72909.0415921229</v>
      </c>
      <c r="G16" s="20">
        <v>150000</v>
      </c>
      <c r="H16">
        <v>1.4999999999999999E-2</v>
      </c>
      <c r="I16">
        <v>0.05</v>
      </c>
      <c r="J16" t="s">
        <v>102</v>
      </c>
      <c r="K16" t="s">
        <v>103</v>
      </c>
      <c r="L16">
        <v>2.0573580001112699</v>
      </c>
      <c r="M16" s="11">
        <v>45107</v>
      </c>
      <c r="N16" t="s">
        <v>31</v>
      </c>
      <c r="O16" t="s">
        <v>32</v>
      </c>
      <c r="P16" t="s">
        <v>33</v>
      </c>
      <c r="Q16" t="s">
        <v>68</v>
      </c>
      <c r="R16" t="s">
        <v>80</v>
      </c>
      <c r="Y16" t="s">
        <v>102</v>
      </c>
      <c r="Z16" t="s">
        <v>103</v>
      </c>
      <c r="AA16" t="s">
        <v>103</v>
      </c>
    </row>
    <row r="17" spans="1:27" x14ac:dyDescent="0.25">
      <c r="A17">
        <v>15</v>
      </c>
      <c r="B17" t="s">
        <v>104</v>
      </c>
      <c r="C17" t="s">
        <v>105</v>
      </c>
      <c r="D17" t="s">
        <v>105</v>
      </c>
      <c r="E17" t="s">
        <v>106</v>
      </c>
      <c r="F17">
        <v>93134.278359645105</v>
      </c>
      <c r="G17" s="20">
        <v>150000</v>
      </c>
      <c r="H17">
        <v>1.4999999999999999E-2</v>
      </c>
      <c r="I17">
        <v>0.05</v>
      </c>
      <c r="J17" t="s">
        <v>102</v>
      </c>
      <c r="K17" t="s">
        <v>103</v>
      </c>
      <c r="L17">
        <v>1.6105777877052201</v>
      </c>
      <c r="M17" s="11">
        <v>45107</v>
      </c>
      <c r="N17" t="s">
        <v>31</v>
      </c>
      <c r="O17" t="s">
        <v>32</v>
      </c>
      <c r="P17" t="s">
        <v>33</v>
      </c>
      <c r="Q17" t="s">
        <v>68</v>
      </c>
      <c r="R17" t="s">
        <v>69</v>
      </c>
      <c r="Y17" t="s">
        <v>102</v>
      </c>
      <c r="Z17" t="s">
        <v>103</v>
      </c>
      <c r="AA17" t="s">
        <v>103</v>
      </c>
    </row>
    <row r="18" spans="1:27" x14ac:dyDescent="0.25">
      <c r="A18">
        <v>16</v>
      </c>
      <c r="B18" t="s">
        <v>107</v>
      </c>
      <c r="C18" t="s">
        <v>108</v>
      </c>
      <c r="D18" t="s">
        <v>108</v>
      </c>
      <c r="E18" t="s">
        <v>109</v>
      </c>
      <c r="F18">
        <v>164980.25120397101</v>
      </c>
      <c r="G18" s="20">
        <v>200000</v>
      </c>
      <c r="H18">
        <v>0.02</v>
      </c>
      <c r="I18">
        <v>9.2999999999999999E-2</v>
      </c>
      <c r="J18" t="s">
        <v>102</v>
      </c>
      <c r="K18" t="s">
        <v>110</v>
      </c>
      <c r="L18">
        <v>1.2122663078790701</v>
      </c>
      <c r="M18" s="11">
        <v>45107</v>
      </c>
      <c r="N18" t="s">
        <v>31</v>
      </c>
      <c r="O18" t="s">
        <v>32</v>
      </c>
      <c r="P18" t="s">
        <v>33</v>
      </c>
      <c r="Q18" t="s">
        <v>68</v>
      </c>
      <c r="R18" t="s">
        <v>74</v>
      </c>
      <c r="Y18" t="s">
        <v>102</v>
      </c>
      <c r="Z18" t="s">
        <v>110</v>
      </c>
      <c r="AA18" t="s">
        <v>110</v>
      </c>
    </row>
    <row r="19" spans="1:27" x14ac:dyDescent="0.25">
      <c r="A19">
        <v>17</v>
      </c>
      <c r="B19" t="s">
        <v>111</v>
      </c>
      <c r="C19" t="s">
        <v>112</v>
      </c>
      <c r="D19" t="s">
        <v>112</v>
      </c>
      <c r="E19" t="s">
        <v>113</v>
      </c>
      <c r="F19">
        <v>173246.43870251501</v>
      </c>
      <c r="G19" s="20">
        <v>200000</v>
      </c>
      <c r="H19">
        <v>0.02</v>
      </c>
      <c r="I19">
        <v>9.2999999999999999E-2</v>
      </c>
      <c r="J19" t="s">
        <v>102</v>
      </c>
      <c r="K19" t="s">
        <v>110</v>
      </c>
      <c r="L19">
        <v>1.1544248845623999</v>
      </c>
      <c r="M19" s="11">
        <v>45107</v>
      </c>
      <c r="N19" t="s">
        <v>31</v>
      </c>
      <c r="O19" t="s">
        <v>32</v>
      </c>
      <c r="P19" t="s">
        <v>33</v>
      </c>
      <c r="Q19" t="s">
        <v>68</v>
      </c>
      <c r="R19" t="s">
        <v>80</v>
      </c>
      <c r="Y19" t="s">
        <v>102</v>
      </c>
      <c r="Z19" t="s">
        <v>110</v>
      </c>
      <c r="AA19" t="s">
        <v>110</v>
      </c>
    </row>
    <row r="20" spans="1:27" x14ac:dyDescent="0.25">
      <c r="A20">
        <v>18</v>
      </c>
      <c r="B20" t="s">
        <v>114</v>
      </c>
      <c r="C20" t="s">
        <v>115</v>
      </c>
      <c r="D20" t="s">
        <v>115</v>
      </c>
      <c r="E20" t="s">
        <v>116</v>
      </c>
      <c r="F20">
        <v>200000</v>
      </c>
      <c r="G20" s="20">
        <v>200000</v>
      </c>
      <c r="H20">
        <v>0.02</v>
      </c>
      <c r="I20">
        <v>9.2999999999999999E-2</v>
      </c>
      <c r="J20" t="s">
        <v>102</v>
      </c>
      <c r="K20" t="s">
        <v>110</v>
      </c>
      <c r="L20">
        <v>1</v>
      </c>
      <c r="M20" s="11">
        <v>45107</v>
      </c>
      <c r="N20" t="s">
        <v>31</v>
      </c>
      <c r="O20" t="s">
        <v>32</v>
      </c>
      <c r="P20" t="s">
        <v>33</v>
      </c>
      <c r="Q20" t="s">
        <v>68</v>
      </c>
      <c r="R20" t="s">
        <v>80</v>
      </c>
      <c r="Y20" t="s">
        <v>102</v>
      </c>
      <c r="Z20" t="s">
        <v>110</v>
      </c>
      <c r="AA20" t="s">
        <v>110</v>
      </c>
    </row>
    <row r="21" spans="1:27" x14ac:dyDescent="0.25">
      <c r="A21">
        <v>19</v>
      </c>
      <c r="B21" t="s">
        <v>117</v>
      </c>
      <c r="C21" t="s">
        <v>118</v>
      </c>
      <c r="E21" t="s">
        <v>119</v>
      </c>
      <c r="F21">
        <v>499999.99999999901</v>
      </c>
      <c r="G21" s="20">
        <v>500000</v>
      </c>
      <c r="H21">
        <v>4.9999999999999933E-2</v>
      </c>
      <c r="I21">
        <v>3.6999999999999998E-2</v>
      </c>
      <c r="J21" t="s">
        <v>117</v>
      </c>
      <c r="K21" t="s">
        <v>117</v>
      </c>
      <c r="L21">
        <v>1</v>
      </c>
      <c r="M21" s="11">
        <v>45107</v>
      </c>
      <c r="N21" t="s">
        <v>31</v>
      </c>
      <c r="O21" t="s">
        <v>32</v>
      </c>
      <c r="P21" t="s">
        <v>33</v>
      </c>
      <c r="Q21" t="s">
        <v>68</v>
      </c>
      <c r="R21" t="s">
        <v>80</v>
      </c>
      <c r="Y21" t="s">
        <v>117</v>
      </c>
      <c r="Z21" t="s">
        <v>117</v>
      </c>
      <c r="AA21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25"/>
  <sheetData>
    <row r="1" spans="1:2" x14ac:dyDescent="0.25">
      <c r="A1" t="s">
        <v>138</v>
      </c>
      <c r="B1" t="s">
        <v>139</v>
      </c>
    </row>
    <row r="2" spans="1:2" x14ac:dyDescent="0.25">
      <c r="A2" t="s">
        <v>140</v>
      </c>
      <c r="B2">
        <v>3.7499999999999999E-2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 x14ac:dyDescent="0.25"/>
  <sheetData>
    <row r="1" spans="1:3" x14ac:dyDescent="0.25">
      <c r="A1" t="s">
        <v>137</v>
      </c>
      <c r="B1" t="s">
        <v>141</v>
      </c>
      <c r="C1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workbookViewId="0"/>
  </sheetViews>
  <sheetFormatPr defaultRowHeight="15" x14ac:dyDescent="0.25"/>
  <sheetData>
    <row r="1" spans="1:25" x14ac:dyDescent="0.25">
      <c r="A1" t="s">
        <v>137</v>
      </c>
      <c r="B1" t="s">
        <v>0</v>
      </c>
      <c r="C1" t="s">
        <v>5</v>
      </c>
      <c r="D1" t="s">
        <v>7</v>
      </c>
      <c r="E1" t="s">
        <v>23</v>
      </c>
      <c r="F1" t="s">
        <v>24</v>
      </c>
      <c r="G1" t="s">
        <v>25</v>
      </c>
      <c r="H1" t="s">
        <v>13</v>
      </c>
      <c r="I1" t="s">
        <v>14</v>
      </c>
      <c r="J1" t="s">
        <v>15</v>
      </c>
      <c r="K1" t="s">
        <v>16</v>
      </c>
      <c r="L1" t="s">
        <v>143</v>
      </c>
      <c r="M1" t="s">
        <v>1</v>
      </c>
      <c r="N1" t="s">
        <v>2</v>
      </c>
      <c r="O1" t="s">
        <v>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F1" sqref="F1"/>
    </sheetView>
  </sheetViews>
  <sheetFormatPr defaultRowHeight="15" x14ac:dyDescent="0.25"/>
  <cols>
    <col min="3" max="3" width="10" bestFit="1" customWidth="1"/>
    <col min="4" max="4" width="46" bestFit="1" customWidth="1"/>
    <col min="5" max="5" width="8.85546875" bestFit="1" customWidth="1"/>
    <col min="6" max="6" width="21" customWidth="1"/>
    <col min="7" max="7" width="13.28515625" bestFit="1" customWidth="1"/>
    <col min="8" max="8" width="12.5703125" bestFit="1" customWidth="1"/>
    <col min="9" max="9" width="11" bestFit="1" customWidth="1"/>
  </cols>
  <sheetData>
    <row r="1" spans="1:9" x14ac:dyDescent="0.25">
      <c r="A1" t="s">
        <v>137</v>
      </c>
      <c r="B1" t="s">
        <v>153</v>
      </c>
      <c r="C1" t="s">
        <v>141</v>
      </c>
      <c r="D1" t="s">
        <v>0</v>
      </c>
      <c r="E1" t="s">
        <v>12</v>
      </c>
      <c r="F1" t="s">
        <v>8</v>
      </c>
      <c r="G1" t="s">
        <v>9</v>
      </c>
      <c r="H1" t="s">
        <v>154</v>
      </c>
      <c r="I1" t="s">
        <v>155</v>
      </c>
    </row>
    <row r="2" spans="1:9" x14ac:dyDescent="0.25">
      <c r="A2">
        <v>0</v>
      </c>
      <c r="B2">
        <v>106</v>
      </c>
      <c r="C2" t="s">
        <v>156</v>
      </c>
      <c r="D2" t="s">
        <v>157</v>
      </c>
      <c r="E2" t="s">
        <v>31</v>
      </c>
      <c r="F2" t="s">
        <v>29</v>
      </c>
      <c r="G2" t="s">
        <v>30</v>
      </c>
      <c r="H2" t="s">
        <v>158</v>
      </c>
      <c r="I2" s="11">
        <v>45446</v>
      </c>
    </row>
    <row r="3" spans="1:9" x14ac:dyDescent="0.25">
      <c r="A3">
        <v>1</v>
      </c>
      <c r="B3">
        <v>877</v>
      </c>
      <c r="C3" t="s">
        <v>159</v>
      </c>
      <c r="D3" t="s">
        <v>63</v>
      </c>
      <c r="E3" t="s">
        <v>31</v>
      </c>
      <c r="F3" t="s">
        <v>66</v>
      </c>
      <c r="G3" t="s">
        <v>67</v>
      </c>
      <c r="I3" s="11">
        <v>45446</v>
      </c>
    </row>
    <row r="4" spans="1:9" x14ac:dyDescent="0.25">
      <c r="A4">
        <v>2</v>
      </c>
      <c r="B4">
        <v>878</v>
      </c>
      <c r="C4" t="s">
        <v>160</v>
      </c>
      <c r="D4" t="s">
        <v>71</v>
      </c>
      <c r="E4" t="s">
        <v>31</v>
      </c>
      <c r="F4" t="s">
        <v>66</v>
      </c>
      <c r="G4" t="s">
        <v>67</v>
      </c>
      <c r="I4" s="11">
        <v>45446</v>
      </c>
    </row>
    <row r="5" spans="1:9" x14ac:dyDescent="0.25">
      <c r="A5">
        <v>3</v>
      </c>
      <c r="B5">
        <v>885</v>
      </c>
      <c r="C5" t="s">
        <v>161</v>
      </c>
      <c r="D5" t="s">
        <v>162</v>
      </c>
      <c r="E5" t="s">
        <v>31</v>
      </c>
      <c r="F5" t="s">
        <v>117</v>
      </c>
      <c r="G5" t="s">
        <v>117</v>
      </c>
      <c r="I5" s="11">
        <v>45446</v>
      </c>
    </row>
    <row r="6" spans="1:9" x14ac:dyDescent="0.25">
      <c r="A6">
        <v>4</v>
      </c>
      <c r="B6">
        <v>912</v>
      </c>
      <c r="C6" t="s">
        <v>163</v>
      </c>
      <c r="D6" t="s">
        <v>99</v>
      </c>
      <c r="E6" t="s">
        <v>31</v>
      </c>
      <c r="F6" t="s">
        <v>102</v>
      </c>
      <c r="G6" t="s">
        <v>103</v>
      </c>
      <c r="I6" s="11">
        <v>45446</v>
      </c>
    </row>
    <row r="7" spans="1:9" x14ac:dyDescent="0.25">
      <c r="A7">
        <v>5</v>
      </c>
      <c r="B7">
        <v>913</v>
      </c>
      <c r="C7" t="s">
        <v>164</v>
      </c>
      <c r="D7" t="s">
        <v>104</v>
      </c>
      <c r="E7" t="s">
        <v>31</v>
      </c>
      <c r="F7" t="s">
        <v>102</v>
      </c>
      <c r="G7" t="s">
        <v>103</v>
      </c>
      <c r="I7" s="11">
        <v>45446</v>
      </c>
    </row>
    <row r="8" spans="1:9" x14ac:dyDescent="0.25">
      <c r="A8">
        <v>6</v>
      </c>
      <c r="B8">
        <v>914</v>
      </c>
      <c r="C8" t="s">
        <v>165</v>
      </c>
      <c r="D8" t="s">
        <v>111</v>
      </c>
      <c r="E8" t="s">
        <v>31</v>
      </c>
      <c r="F8" t="s">
        <v>102</v>
      </c>
      <c r="G8" t="s">
        <v>110</v>
      </c>
      <c r="I8" s="11">
        <v>45446</v>
      </c>
    </row>
    <row r="9" spans="1:9" x14ac:dyDescent="0.25">
      <c r="A9">
        <v>7</v>
      </c>
      <c r="B9">
        <v>915</v>
      </c>
      <c r="C9" t="s">
        <v>166</v>
      </c>
      <c r="D9" t="s">
        <v>114</v>
      </c>
      <c r="E9" t="s">
        <v>31</v>
      </c>
      <c r="F9" t="s">
        <v>102</v>
      </c>
      <c r="G9" t="s">
        <v>110</v>
      </c>
      <c r="I9" s="11">
        <v>45446</v>
      </c>
    </row>
    <row r="10" spans="1:9" x14ac:dyDescent="0.25">
      <c r="A10">
        <v>8</v>
      </c>
      <c r="B10">
        <v>916</v>
      </c>
      <c r="C10" t="s">
        <v>167</v>
      </c>
      <c r="D10" t="s">
        <v>107</v>
      </c>
      <c r="E10" t="s">
        <v>31</v>
      </c>
      <c r="F10" t="s">
        <v>102</v>
      </c>
      <c r="G10" t="s">
        <v>110</v>
      </c>
      <c r="I10" s="11">
        <v>45446</v>
      </c>
    </row>
    <row r="11" spans="1:9" x14ac:dyDescent="0.25">
      <c r="A11">
        <v>9</v>
      </c>
      <c r="B11">
        <v>882</v>
      </c>
      <c r="C11" t="s">
        <v>168</v>
      </c>
      <c r="D11" t="s">
        <v>90</v>
      </c>
      <c r="E11" t="s">
        <v>31</v>
      </c>
      <c r="F11" t="s">
        <v>66</v>
      </c>
      <c r="G11" t="s">
        <v>67</v>
      </c>
      <c r="I11" s="11">
        <v>45446</v>
      </c>
    </row>
    <row r="12" spans="1:9" x14ac:dyDescent="0.25">
      <c r="A12">
        <v>10</v>
      </c>
      <c r="B12">
        <v>883</v>
      </c>
      <c r="C12" t="s">
        <v>169</v>
      </c>
      <c r="D12" t="s">
        <v>93</v>
      </c>
      <c r="E12" t="s">
        <v>31</v>
      </c>
      <c r="F12" t="s">
        <v>66</v>
      </c>
      <c r="G12" t="s">
        <v>67</v>
      </c>
      <c r="I12" s="11">
        <v>45446</v>
      </c>
    </row>
    <row r="13" spans="1:9" x14ac:dyDescent="0.25">
      <c r="A13">
        <v>11</v>
      </c>
      <c r="B13">
        <v>872</v>
      </c>
      <c r="C13" t="s">
        <v>170</v>
      </c>
      <c r="D13" t="s">
        <v>26</v>
      </c>
      <c r="E13" t="s">
        <v>31</v>
      </c>
      <c r="F13" t="s">
        <v>29</v>
      </c>
      <c r="G13" t="s">
        <v>30</v>
      </c>
      <c r="I13" s="11">
        <v>45446</v>
      </c>
    </row>
    <row r="14" spans="1:9" x14ac:dyDescent="0.25">
      <c r="A14">
        <v>12</v>
      </c>
      <c r="B14">
        <v>873</v>
      </c>
      <c r="C14" t="s">
        <v>171</v>
      </c>
      <c r="D14" t="s">
        <v>41</v>
      </c>
      <c r="E14" t="s">
        <v>31</v>
      </c>
      <c r="F14" t="s">
        <v>29</v>
      </c>
      <c r="G14" t="s">
        <v>44</v>
      </c>
      <c r="I14" s="11">
        <v>45446</v>
      </c>
    </row>
    <row r="15" spans="1:9" x14ac:dyDescent="0.25">
      <c r="A15">
        <v>13</v>
      </c>
      <c r="B15">
        <v>874</v>
      </c>
      <c r="C15" t="s">
        <v>172</v>
      </c>
      <c r="D15" t="s">
        <v>47</v>
      </c>
      <c r="E15" t="s">
        <v>31</v>
      </c>
      <c r="F15" t="s">
        <v>29</v>
      </c>
      <c r="G15" t="s">
        <v>30</v>
      </c>
      <c r="I15" s="11">
        <v>45446</v>
      </c>
    </row>
    <row r="16" spans="1:9" x14ac:dyDescent="0.25">
      <c r="A16">
        <v>14</v>
      </c>
      <c r="B16">
        <v>875</v>
      </c>
      <c r="C16" t="s">
        <v>173</v>
      </c>
      <c r="D16" t="s">
        <v>54</v>
      </c>
      <c r="E16" t="s">
        <v>31</v>
      </c>
      <c r="F16" t="s">
        <v>29</v>
      </c>
      <c r="G16" t="s">
        <v>44</v>
      </c>
      <c r="I16" s="11">
        <v>45446</v>
      </c>
    </row>
    <row r="17" spans="1:9" x14ac:dyDescent="0.25">
      <c r="A17">
        <v>15</v>
      </c>
      <c r="B17">
        <v>876</v>
      </c>
      <c r="C17" t="s">
        <v>174</v>
      </c>
      <c r="D17" t="s">
        <v>60</v>
      </c>
      <c r="E17" t="s">
        <v>31</v>
      </c>
      <c r="F17" t="s">
        <v>29</v>
      </c>
      <c r="G17" t="s">
        <v>44</v>
      </c>
      <c r="I17" s="11">
        <v>45446</v>
      </c>
    </row>
    <row r="18" spans="1:9" x14ac:dyDescent="0.25">
      <c r="A18">
        <v>16</v>
      </c>
      <c r="B18">
        <v>879</v>
      </c>
      <c r="C18" t="s">
        <v>175</v>
      </c>
      <c r="D18" t="s">
        <v>76</v>
      </c>
      <c r="E18" t="s">
        <v>31</v>
      </c>
      <c r="F18" t="s">
        <v>66</v>
      </c>
      <c r="G18" t="s">
        <v>79</v>
      </c>
      <c r="I18" s="11">
        <v>45446</v>
      </c>
    </row>
    <row r="19" spans="1:9" x14ac:dyDescent="0.25">
      <c r="A19">
        <v>17</v>
      </c>
      <c r="B19">
        <v>880</v>
      </c>
      <c r="C19" t="s">
        <v>176</v>
      </c>
      <c r="D19" t="s">
        <v>81</v>
      </c>
      <c r="E19" t="s">
        <v>31</v>
      </c>
      <c r="F19" t="s">
        <v>66</v>
      </c>
      <c r="G19" t="s">
        <v>79</v>
      </c>
      <c r="I19" s="11">
        <v>45446</v>
      </c>
    </row>
    <row r="20" spans="1:9" x14ac:dyDescent="0.25">
      <c r="A20">
        <v>18</v>
      </c>
      <c r="B20">
        <v>881</v>
      </c>
      <c r="C20" t="s">
        <v>177</v>
      </c>
      <c r="D20" t="s">
        <v>84</v>
      </c>
      <c r="E20" t="s">
        <v>31</v>
      </c>
      <c r="F20" t="s">
        <v>66</v>
      </c>
      <c r="G20" t="s">
        <v>79</v>
      </c>
      <c r="I20" s="11">
        <v>45446</v>
      </c>
    </row>
    <row r="21" spans="1:9" x14ac:dyDescent="0.25">
      <c r="A21">
        <v>19</v>
      </c>
      <c r="B21">
        <v>884</v>
      </c>
      <c r="C21" t="s">
        <v>178</v>
      </c>
      <c r="D21" t="s">
        <v>96</v>
      </c>
      <c r="E21" t="s">
        <v>31</v>
      </c>
      <c r="F21" t="s">
        <v>66</v>
      </c>
      <c r="G21" t="s">
        <v>79</v>
      </c>
      <c r="I21" s="11">
        <v>45446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I7" sqref="I7"/>
    </sheetView>
  </sheetViews>
  <sheetFormatPr defaultRowHeight="15" x14ac:dyDescent="0.25"/>
  <cols>
    <col min="1" max="1" width="16" customWidth="1"/>
    <col min="2" max="2" width="17" style="10" customWidth="1"/>
    <col min="3" max="3" width="20.140625" customWidth="1"/>
  </cols>
  <sheetData>
    <row r="1" spans="1:3" x14ac:dyDescent="0.25">
      <c r="A1" t="s">
        <v>141</v>
      </c>
      <c r="B1" s="10" t="s">
        <v>10</v>
      </c>
      <c r="C1" t="s">
        <v>11</v>
      </c>
    </row>
    <row r="2" spans="1:3" x14ac:dyDescent="0.25">
      <c r="A2" t="s">
        <v>170</v>
      </c>
      <c r="B2" s="10">
        <v>83.040000915527344</v>
      </c>
      <c r="C2" s="11">
        <v>45135</v>
      </c>
    </row>
    <row r="3" spans="1:3" x14ac:dyDescent="0.25">
      <c r="A3" t="s">
        <v>156</v>
      </c>
      <c r="B3" s="10">
        <v>579.9000244140625</v>
      </c>
      <c r="C3" s="11">
        <v>45471</v>
      </c>
    </row>
    <row r="4" spans="1:3" x14ac:dyDescent="0.25">
      <c r="A4" t="s">
        <v>171</v>
      </c>
      <c r="B4" s="10">
        <v>27.469999313354489</v>
      </c>
      <c r="C4" s="11">
        <v>45134</v>
      </c>
    </row>
    <row r="5" spans="1:3" x14ac:dyDescent="0.25">
      <c r="A5" t="s">
        <v>172</v>
      </c>
      <c r="B5" s="10">
        <v>179.83999633789063</v>
      </c>
      <c r="C5" s="11">
        <v>45135</v>
      </c>
    </row>
    <row r="6" spans="1:3" x14ac:dyDescent="0.25">
      <c r="A6" t="s">
        <v>173</v>
      </c>
      <c r="B6" s="10">
        <v>233.8</v>
      </c>
      <c r="C6" s="11">
        <v>45147</v>
      </c>
    </row>
    <row r="7" spans="1:3" x14ac:dyDescent="0.25">
      <c r="A7" t="s">
        <v>174</v>
      </c>
      <c r="B7" s="10">
        <v>86.93</v>
      </c>
      <c r="C7" s="11">
        <v>45147</v>
      </c>
    </row>
    <row r="8" spans="1:3" x14ac:dyDescent="0.25">
      <c r="A8" t="s">
        <v>159</v>
      </c>
      <c r="B8" s="10">
        <v>11.300000190734863</v>
      </c>
      <c r="C8" s="11">
        <v>45134</v>
      </c>
    </row>
    <row r="9" spans="1:3" x14ac:dyDescent="0.25">
      <c r="A9" t="s">
        <v>160</v>
      </c>
      <c r="B9" s="10">
        <v>11.659999847412109</v>
      </c>
      <c r="C9" s="11">
        <v>45134</v>
      </c>
    </row>
    <row r="10" spans="1:3" x14ac:dyDescent="0.25">
      <c r="A10" t="s">
        <v>175</v>
      </c>
      <c r="B10" s="10">
        <v>5.7399997711181641</v>
      </c>
      <c r="C10" s="11">
        <v>45471</v>
      </c>
    </row>
    <row r="11" spans="1:3" x14ac:dyDescent="0.25">
      <c r="A11" t="s">
        <v>176</v>
      </c>
      <c r="B11" s="10">
        <v>5.734</v>
      </c>
      <c r="C11" s="11">
        <v>45473</v>
      </c>
    </row>
    <row r="12" spans="1:3" x14ac:dyDescent="0.25">
      <c r="A12" t="s">
        <v>177</v>
      </c>
      <c r="B12" s="10">
        <v>110.80999755859376</v>
      </c>
      <c r="C12" s="11">
        <v>45135</v>
      </c>
    </row>
    <row r="13" spans="1:3" x14ac:dyDescent="0.25">
      <c r="A13" t="s">
        <v>168</v>
      </c>
      <c r="B13" s="10">
        <v>23.52</v>
      </c>
      <c r="C13" s="11">
        <v>45147</v>
      </c>
    </row>
    <row r="14" spans="1:3" x14ac:dyDescent="0.25">
      <c r="A14" t="s">
        <v>169</v>
      </c>
      <c r="B14" s="10">
        <v>35.92</v>
      </c>
      <c r="C14" s="11">
        <v>45147</v>
      </c>
    </row>
    <row r="15" spans="1:3" x14ac:dyDescent="0.25">
      <c r="A15" t="s">
        <v>178</v>
      </c>
      <c r="B15" s="10">
        <v>82.339996337890625</v>
      </c>
      <c r="C15" s="11">
        <v>45135</v>
      </c>
    </row>
    <row r="16" spans="1:3" x14ac:dyDescent="0.25">
      <c r="A16" t="s">
        <v>164</v>
      </c>
      <c r="B16" s="10">
        <v>1.6105777877052256</v>
      </c>
      <c r="C16" s="11">
        <v>45107</v>
      </c>
    </row>
    <row r="17" spans="1:3" x14ac:dyDescent="0.25">
      <c r="A17" t="s">
        <v>167</v>
      </c>
      <c r="B17" s="10">
        <v>1.2122663078790714</v>
      </c>
      <c r="C17" s="11">
        <v>45107</v>
      </c>
    </row>
    <row r="18" spans="1:3" x14ac:dyDescent="0.25">
      <c r="A18" t="s">
        <v>166</v>
      </c>
      <c r="B18" s="10">
        <v>1</v>
      </c>
      <c r="C18" s="11">
        <v>45107</v>
      </c>
    </row>
    <row r="19" spans="1:3" x14ac:dyDescent="0.25">
      <c r="A19" t="s">
        <v>161</v>
      </c>
      <c r="B19" s="10">
        <v>1</v>
      </c>
      <c r="C19" s="11">
        <v>45450</v>
      </c>
    </row>
    <row r="20" spans="1:3" x14ac:dyDescent="0.25">
      <c r="A20" t="s">
        <v>163</v>
      </c>
      <c r="B20" s="10">
        <v>2.0573580001112699</v>
      </c>
      <c r="C20" s="11">
        <v>45107</v>
      </c>
    </row>
    <row r="21" spans="1:3" x14ac:dyDescent="0.25">
      <c r="A21" t="s">
        <v>165</v>
      </c>
      <c r="B21" s="10">
        <v>1.1544248845623999</v>
      </c>
      <c r="C21" s="11">
        <v>45107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workbookViewId="0"/>
  </sheetViews>
  <sheetFormatPr defaultRowHeight="15" x14ac:dyDescent="0.25"/>
  <sheetData>
    <row r="1" spans="1:24" x14ac:dyDescent="0.25">
      <c r="A1" t="s">
        <v>141</v>
      </c>
      <c r="B1" t="s">
        <v>138</v>
      </c>
      <c r="C1" t="s">
        <v>1</v>
      </c>
      <c r="D1" t="s">
        <v>2</v>
      </c>
      <c r="E1" t="s">
        <v>179</v>
      </c>
      <c r="F1" t="s">
        <v>180</v>
      </c>
      <c r="G1" t="s">
        <v>19</v>
      </c>
      <c r="H1" t="s">
        <v>181</v>
      </c>
      <c r="I1" t="s">
        <v>182</v>
      </c>
      <c r="J1" t="s">
        <v>183</v>
      </c>
      <c r="K1" t="s">
        <v>15</v>
      </c>
      <c r="L1" t="s">
        <v>13</v>
      </c>
      <c r="M1" t="s">
        <v>22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  <c r="S1" t="s">
        <v>189</v>
      </c>
      <c r="T1" t="s">
        <v>190</v>
      </c>
      <c r="U1" t="s">
        <v>191</v>
      </c>
      <c r="V1" t="s">
        <v>192</v>
      </c>
      <c r="W1" t="s">
        <v>193</v>
      </c>
      <c r="X1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1"/>
  <sheetViews>
    <sheetView topLeftCell="J1" workbookViewId="0">
      <selection activeCell="AL1" sqref="AL1"/>
    </sheetView>
  </sheetViews>
  <sheetFormatPr defaultRowHeight="15" x14ac:dyDescent="0.25"/>
  <sheetData>
    <row r="1" spans="1:38" x14ac:dyDescent="0.25">
      <c r="A1" t="s">
        <v>137</v>
      </c>
      <c r="B1" t="s">
        <v>0</v>
      </c>
      <c r="C1" t="s">
        <v>5</v>
      </c>
      <c r="D1" t="s">
        <v>7</v>
      </c>
      <c r="E1" t="s">
        <v>23</v>
      </c>
      <c r="F1" t="s">
        <v>24</v>
      </c>
      <c r="G1" t="s">
        <v>25</v>
      </c>
      <c r="H1" t="s">
        <v>13</v>
      </c>
      <c r="I1" t="s">
        <v>14</v>
      </c>
      <c r="J1" t="s">
        <v>15</v>
      </c>
      <c r="K1" t="s">
        <v>16</v>
      </c>
      <c r="L1" t="s">
        <v>143</v>
      </c>
      <c r="M1" t="s">
        <v>1</v>
      </c>
      <c r="N1" t="s">
        <v>2</v>
      </c>
      <c r="O1" t="s">
        <v>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141</v>
      </c>
      <c r="Z1" t="s">
        <v>12</v>
      </c>
      <c r="AA1" t="s">
        <v>8</v>
      </c>
      <c r="AB1" t="s">
        <v>9</v>
      </c>
      <c r="AC1" t="s">
        <v>195</v>
      </c>
      <c r="AD1" t="s">
        <v>196</v>
      </c>
      <c r="AE1" t="s">
        <v>197</v>
      </c>
      <c r="AF1" t="s">
        <v>198</v>
      </c>
      <c r="AG1" t="s">
        <v>199</v>
      </c>
      <c r="AH1" t="s">
        <v>200</v>
      </c>
      <c r="AI1" t="s">
        <v>201</v>
      </c>
      <c r="AJ1" t="s">
        <v>202</v>
      </c>
      <c r="AK1" t="s">
        <v>203</v>
      </c>
      <c r="AL1" t="s">
        <v>204</v>
      </c>
    </row>
    <row r="2" spans="1:38" x14ac:dyDescent="0.25">
      <c r="A2">
        <v>0</v>
      </c>
      <c r="B2" t="s">
        <v>26</v>
      </c>
      <c r="C2">
        <v>250000</v>
      </c>
      <c r="D2">
        <v>4.3999999999999997E-2</v>
      </c>
      <c r="E2" t="s">
        <v>29</v>
      </c>
      <c r="F2" t="s">
        <v>30</v>
      </c>
      <c r="G2" t="s">
        <v>36</v>
      </c>
      <c r="H2" t="s">
        <v>32</v>
      </c>
      <c r="I2" t="s">
        <v>33</v>
      </c>
      <c r="J2" t="s">
        <v>34</v>
      </c>
      <c r="K2" t="s">
        <v>35</v>
      </c>
      <c r="L2">
        <v>0</v>
      </c>
      <c r="M2" t="s">
        <v>27</v>
      </c>
      <c r="O2" t="s">
        <v>28</v>
      </c>
      <c r="P2">
        <v>79.790000915527301</v>
      </c>
      <c r="Q2" s="11">
        <v>45107</v>
      </c>
      <c r="R2" t="s">
        <v>29</v>
      </c>
      <c r="S2" t="s">
        <v>30</v>
      </c>
      <c r="Y2" t="s">
        <v>170</v>
      </c>
      <c r="Z2" t="s">
        <v>31</v>
      </c>
      <c r="AA2" t="s">
        <v>29</v>
      </c>
      <c r="AB2" t="s">
        <v>30</v>
      </c>
      <c r="AC2">
        <v>250000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>
        <v>1</v>
      </c>
      <c r="B3" t="s">
        <v>37</v>
      </c>
      <c r="C3">
        <v>250000</v>
      </c>
      <c r="D3">
        <v>4.3999999999999997E-2</v>
      </c>
      <c r="E3" t="s">
        <v>29</v>
      </c>
      <c r="F3" t="s">
        <v>30</v>
      </c>
      <c r="G3" t="s">
        <v>36</v>
      </c>
      <c r="H3" t="s">
        <v>32</v>
      </c>
      <c r="I3" t="s">
        <v>33</v>
      </c>
      <c r="J3" t="s">
        <v>34</v>
      </c>
      <c r="K3" t="s">
        <v>40</v>
      </c>
      <c r="L3">
        <v>1</v>
      </c>
      <c r="M3" t="s">
        <v>38</v>
      </c>
      <c r="O3" t="s">
        <v>39</v>
      </c>
      <c r="P3">
        <v>462.850006103515</v>
      </c>
      <c r="Q3" s="11">
        <v>45107</v>
      </c>
      <c r="R3" t="s">
        <v>29</v>
      </c>
      <c r="S3" t="s">
        <v>30</v>
      </c>
      <c r="Y3" t="s">
        <v>156</v>
      </c>
      <c r="Z3" t="s">
        <v>31</v>
      </c>
      <c r="AA3" t="s">
        <v>29</v>
      </c>
      <c r="AB3" t="s">
        <v>30</v>
      </c>
      <c r="AC3">
        <v>250000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>
        <v>2</v>
      </c>
      <c r="B4" t="s">
        <v>41</v>
      </c>
      <c r="C4">
        <v>200000</v>
      </c>
      <c r="D4">
        <v>6.0499999999999998E-2</v>
      </c>
      <c r="E4" t="s">
        <v>29</v>
      </c>
      <c r="F4" t="s">
        <v>44</v>
      </c>
      <c r="G4" t="s">
        <v>36</v>
      </c>
      <c r="H4" t="s">
        <v>32</v>
      </c>
      <c r="I4" t="s">
        <v>33</v>
      </c>
      <c r="J4" t="s">
        <v>45</v>
      </c>
      <c r="K4" t="s">
        <v>46</v>
      </c>
      <c r="L4">
        <v>2</v>
      </c>
      <c r="M4" t="s">
        <v>42</v>
      </c>
      <c r="O4" t="s">
        <v>43</v>
      </c>
      <c r="P4">
        <v>26.2600002288818</v>
      </c>
      <c r="Q4" s="11">
        <v>45107</v>
      </c>
      <c r="R4" t="s">
        <v>29</v>
      </c>
      <c r="S4" t="s">
        <v>44</v>
      </c>
      <c r="Y4" t="s">
        <v>171</v>
      </c>
      <c r="Z4" t="s">
        <v>31</v>
      </c>
      <c r="AA4" t="s">
        <v>29</v>
      </c>
      <c r="AB4" t="s">
        <v>44</v>
      </c>
      <c r="AC4">
        <v>200000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5">
      <c r="A5">
        <v>3</v>
      </c>
      <c r="B5" t="s">
        <v>47</v>
      </c>
      <c r="C5">
        <v>200000</v>
      </c>
      <c r="D5">
        <v>5.1999999999999998E-2</v>
      </c>
      <c r="E5" t="s">
        <v>29</v>
      </c>
      <c r="F5" t="s">
        <v>30</v>
      </c>
      <c r="G5" t="s">
        <v>36</v>
      </c>
      <c r="H5" t="s">
        <v>51</v>
      </c>
      <c r="I5" t="s">
        <v>52</v>
      </c>
      <c r="J5" t="s">
        <v>45</v>
      </c>
      <c r="K5" t="s">
        <v>53</v>
      </c>
      <c r="L5">
        <v>3</v>
      </c>
      <c r="M5" t="s">
        <v>48</v>
      </c>
      <c r="O5" t="s">
        <v>49</v>
      </c>
      <c r="P5">
        <v>175.83999633789</v>
      </c>
      <c r="Q5" s="11">
        <v>45107</v>
      </c>
      <c r="R5" t="s">
        <v>29</v>
      </c>
      <c r="S5" t="s">
        <v>30</v>
      </c>
      <c r="Y5" t="s">
        <v>172</v>
      </c>
      <c r="Z5" t="s">
        <v>31</v>
      </c>
      <c r="AA5" t="s">
        <v>29</v>
      </c>
      <c r="AB5" t="s">
        <v>30</v>
      </c>
      <c r="AC5">
        <v>200000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>
        <v>4</v>
      </c>
      <c r="B6" t="s">
        <v>54</v>
      </c>
      <c r="C6">
        <v>200000</v>
      </c>
      <c r="D6">
        <v>5.1999999999999998E-2</v>
      </c>
      <c r="E6" t="s">
        <v>29</v>
      </c>
      <c r="F6" t="s">
        <v>44</v>
      </c>
      <c r="G6" t="s">
        <v>59</v>
      </c>
      <c r="H6" t="s">
        <v>57</v>
      </c>
      <c r="I6" t="s">
        <v>52</v>
      </c>
      <c r="J6" t="s">
        <v>45</v>
      </c>
      <c r="K6" t="s">
        <v>58</v>
      </c>
      <c r="L6">
        <v>4</v>
      </c>
      <c r="M6" t="s">
        <v>55</v>
      </c>
      <c r="O6" t="s">
        <v>56</v>
      </c>
      <c r="P6">
        <v>233</v>
      </c>
      <c r="Q6" s="11">
        <v>45107</v>
      </c>
      <c r="R6" t="s">
        <v>29</v>
      </c>
      <c r="S6" t="s">
        <v>44</v>
      </c>
      <c r="Y6" t="s">
        <v>173</v>
      </c>
      <c r="Z6" t="s">
        <v>31</v>
      </c>
      <c r="AA6" t="s">
        <v>29</v>
      </c>
      <c r="AB6" t="s">
        <v>44</v>
      </c>
      <c r="AC6">
        <v>200000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>
        <v>5</v>
      </c>
      <c r="B7" t="s">
        <v>60</v>
      </c>
      <c r="C7">
        <v>200000</v>
      </c>
      <c r="D7">
        <v>5.1999999999999998E-2</v>
      </c>
      <c r="E7" t="s">
        <v>29</v>
      </c>
      <c r="F7" t="s">
        <v>44</v>
      </c>
      <c r="G7" t="s">
        <v>59</v>
      </c>
      <c r="H7" t="s">
        <v>32</v>
      </c>
      <c r="I7" t="s">
        <v>33</v>
      </c>
      <c r="J7" t="s">
        <v>45</v>
      </c>
      <c r="K7" t="s">
        <v>58</v>
      </c>
      <c r="L7">
        <v>5</v>
      </c>
      <c r="M7" t="s">
        <v>61</v>
      </c>
      <c r="O7" t="s">
        <v>62</v>
      </c>
      <c r="P7">
        <v>86.47</v>
      </c>
      <c r="Q7" s="11">
        <v>45107</v>
      </c>
      <c r="R7" t="s">
        <v>29</v>
      </c>
      <c r="S7" t="s">
        <v>44</v>
      </c>
      <c r="Y7" t="s">
        <v>174</v>
      </c>
      <c r="Z7" t="s">
        <v>31</v>
      </c>
      <c r="AA7" t="s">
        <v>29</v>
      </c>
      <c r="AB7" t="s">
        <v>44</v>
      </c>
      <c r="AC7">
        <v>200000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>
        <v>6</v>
      </c>
      <c r="B8" t="s">
        <v>63</v>
      </c>
      <c r="C8">
        <v>1000000</v>
      </c>
      <c r="D8">
        <v>4.8000000000000001E-2</v>
      </c>
      <c r="E8" t="s">
        <v>66</v>
      </c>
      <c r="F8" t="s">
        <v>67</v>
      </c>
      <c r="G8" t="s">
        <v>70</v>
      </c>
      <c r="H8" t="s">
        <v>32</v>
      </c>
      <c r="I8" t="s">
        <v>33</v>
      </c>
      <c r="J8" t="s">
        <v>68</v>
      </c>
      <c r="K8" t="s">
        <v>69</v>
      </c>
      <c r="L8">
        <v>6</v>
      </c>
      <c r="M8" t="s">
        <v>64</v>
      </c>
      <c r="O8" t="s">
        <v>65</v>
      </c>
      <c r="P8">
        <v>11.2600002288818</v>
      </c>
      <c r="Q8" s="11">
        <v>45107</v>
      </c>
      <c r="R8" t="s">
        <v>66</v>
      </c>
      <c r="S8" t="s">
        <v>67</v>
      </c>
      <c r="Y8" t="s">
        <v>159</v>
      </c>
      <c r="Z8" t="s">
        <v>31</v>
      </c>
      <c r="AA8" t="s">
        <v>66</v>
      </c>
      <c r="AB8" t="s">
        <v>67</v>
      </c>
      <c r="AC8">
        <v>1000000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>
        <v>7</v>
      </c>
      <c r="B9" t="s">
        <v>71</v>
      </c>
      <c r="C9">
        <v>1000000</v>
      </c>
      <c r="D9">
        <v>4.8000000000000001E-2</v>
      </c>
      <c r="E9" t="s">
        <v>66</v>
      </c>
      <c r="F9" t="s">
        <v>67</v>
      </c>
      <c r="G9" t="s">
        <v>75</v>
      </c>
      <c r="H9" t="s">
        <v>32</v>
      </c>
      <c r="I9" t="s">
        <v>33</v>
      </c>
      <c r="J9" t="s">
        <v>68</v>
      </c>
      <c r="K9" t="s">
        <v>74</v>
      </c>
      <c r="L9">
        <v>7</v>
      </c>
      <c r="M9" t="s">
        <v>72</v>
      </c>
      <c r="O9" t="s">
        <v>73</v>
      </c>
      <c r="P9">
        <v>11.6000003814697</v>
      </c>
      <c r="Q9" s="11">
        <v>45107</v>
      </c>
      <c r="R9" t="s">
        <v>66</v>
      </c>
      <c r="S9" t="s">
        <v>67</v>
      </c>
      <c r="Y9" t="s">
        <v>160</v>
      </c>
      <c r="Z9" t="s">
        <v>31</v>
      </c>
      <c r="AA9" t="s">
        <v>66</v>
      </c>
      <c r="AB9" t="s">
        <v>67</v>
      </c>
      <c r="AC9">
        <v>1000000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>
        <v>8</v>
      </c>
      <c r="B10" t="s">
        <v>76</v>
      </c>
      <c r="C10">
        <v>1900000</v>
      </c>
      <c r="D10">
        <v>4.8000000000000001E-2</v>
      </c>
      <c r="E10" t="s">
        <v>66</v>
      </c>
      <c r="F10" t="s">
        <v>79</v>
      </c>
      <c r="G10" t="s">
        <v>75</v>
      </c>
      <c r="H10" t="s">
        <v>32</v>
      </c>
      <c r="I10" t="s">
        <v>33</v>
      </c>
      <c r="J10" t="s">
        <v>68</v>
      </c>
      <c r="K10" t="s">
        <v>80</v>
      </c>
      <c r="L10">
        <v>8</v>
      </c>
      <c r="M10" t="s">
        <v>77</v>
      </c>
      <c r="O10" t="s">
        <v>78</v>
      </c>
      <c r="P10">
        <v>5.4587998390197701</v>
      </c>
      <c r="Q10" s="11">
        <v>45107</v>
      </c>
      <c r="R10" t="s">
        <v>66</v>
      </c>
      <c r="S10" t="s">
        <v>79</v>
      </c>
      <c r="Y10" t="s">
        <v>175</v>
      </c>
      <c r="Z10" t="s">
        <v>31</v>
      </c>
      <c r="AA10" t="s">
        <v>66</v>
      </c>
      <c r="AB10" t="s">
        <v>79</v>
      </c>
      <c r="AC10">
        <v>1900000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>
        <v>9</v>
      </c>
      <c r="B11" t="s">
        <v>81</v>
      </c>
      <c r="C11">
        <v>1900000</v>
      </c>
      <c r="D11">
        <v>4.8000000000000001E-2</v>
      </c>
      <c r="E11" t="s">
        <v>66</v>
      </c>
      <c r="F11" t="s">
        <v>79</v>
      </c>
      <c r="G11" t="s">
        <v>70</v>
      </c>
      <c r="H11" t="s">
        <v>32</v>
      </c>
      <c r="I11" t="s">
        <v>33</v>
      </c>
      <c r="J11" t="s">
        <v>68</v>
      </c>
      <c r="K11" t="s">
        <v>69</v>
      </c>
      <c r="L11">
        <v>9</v>
      </c>
      <c r="M11" t="s">
        <v>82</v>
      </c>
      <c r="O11" t="s">
        <v>83</v>
      </c>
      <c r="P11">
        <v>5.50500011444091</v>
      </c>
      <c r="Q11" s="11">
        <v>45107</v>
      </c>
      <c r="R11" t="s">
        <v>66</v>
      </c>
      <c r="S11" t="s">
        <v>79</v>
      </c>
      <c r="Y11" t="s">
        <v>176</v>
      </c>
      <c r="Z11" t="s">
        <v>31</v>
      </c>
      <c r="AA11" t="s">
        <v>66</v>
      </c>
      <c r="AB11" t="s">
        <v>79</v>
      </c>
      <c r="AC11">
        <v>1900000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>
        <v>10</v>
      </c>
      <c r="B12" t="s">
        <v>84</v>
      </c>
      <c r="C12">
        <v>900000</v>
      </c>
      <c r="D12">
        <v>4.8000000000000001E-2</v>
      </c>
      <c r="E12" t="s">
        <v>66</v>
      </c>
      <c r="F12" t="s">
        <v>79</v>
      </c>
      <c r="G12" t="s">
        <v>75</v>
      </c>
      <c r="H12" t="s">
        <v>88</v>
      </c>
      <c r="I12" t="s">
        <v>89</v>
      </c>
      <c r="J12" t="s">
        <v>68</v>
      </c>
      <c r="K12" t="s">
        <v>74</v>
      </c>
      <c r="L12">
        <v>10</v>
      </c>
      <c r="M12" t="s">
        <v>85</v>
      </c>
      <c r="O12" t="s">
        <v>86</v>
      </c>
      <c r="P12">
        <v>110.375</v>
      </c>
      <c r="Q12" s="11">
        <v>45107</v>
      </c>
      <c r="R12" t="s">
        <v>66</v>
      </c>
      <c r="S12" t="s">
        <v>79</v>
      </c>
      <c r="Y12" t="s">
        <v>177</v>
      </c>
      <c r="Z12" t="s">
        <v>31</v>
      </c>
      <c r="AA12" t="s">
        <v>66</v>
      </c>
      <c r="AB12" t="s">
        <v>79</v>
      </c>
      <c r="AC12">
        <v>900000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>
        <v>11</v>
      </c>
      <c r="B13" t="s">
        <v>90</v>
      </c>
      <c r="C13">
        <v>200000</v>
      </c>
      <c r="D13">
        <v>7.0999999999999994E-2</v>
      </c>
      <c r="E13" t="s">
        <v>66</v>
      </c>
      <c r="F13" t="s">
        <v>67</v>
      </c>
      <c r="G13" t="s">
        <v>70</v>
      </c>
      <c r="H13" t="s">
        <v>88</v>
      </c>
      <c r="I13" t="s">
        <v>89</v>
      </c>
      <c r="J13" t="s">
        <v>68</v>
      </c>
      <c r="K13" t="s">
        <v>80</v>
      </c>
      <c r="L13">
        <v>11</v>
      </c>
      <c r="M13" t="s">
        <v>91</v>
      </c>
      <c r="O13" t="s">
        <v>92</v>
      </c>
      <c r="P13">
        <v>23.28</v>
      </c>
      <c r="Q13" s="11">
        <v>45107</v>
      </c>
      <c r="R13" t="s">
        <v>66</v>
      </c>
      <c r="S13" t="s">
        <v>67</v>
      </c>
      <c r="Y13" t="s">
        <v>168</v>
      </c>
      <c r="Z13" t="s">
        <v>31</v>
      </c>
      <c r="AA13" t="s">
        <v>66</v>
      </c>
      <c r="AB13" t="s">
        <v>67</v>
      </c>
      <c r="AC13">
        <v>200000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5">
      <c r="A14">
        <v>12</v>
      </c>
      <c r="B14" t="s">
        <v>93</v>
      </c>
      <c r="C14">
        <v>200000</v>
      </c>
      <c r="D14">
        <v>7.0999999999999994E-2</v>
      </c>
      <c r="E14" t="s">
        <v>66</v>
      </c>
      <c r="F14" t="s">
        <v>67</v>
      </c>
      <c r="G14" t="s">
        <v>75</v>
      </c>
      <c r="H14" t="s">
        <v>32</v>
      </c>
      <c r="I14" t="s">
        <v>33</v>
      </c>
      <c r="J14" t="s">
        <v>68</v>
      </c>
      <c r="K14" t="s">
        <v>69</v>
      </c>
      <c r="L14">
        <v>12</v>
      </c>
      <c r="M14" t="s">
        <v>94</v>
      </c>
      <c r="O14" t="s">
        <v>95</v>
      </c>
      <c r="P14">
        <v>35.44</v>
      </c>
      <c r="Q14" s="11">
        <v>45107</v>
      </c>
      <c r="R14" t="s">
        <v>66</v>
      </c>
      <c r="S14" t="s">
        <v>67</v>
      </c>
      <c r="Y14" t="s">
        <v>169</v>
      </c>
      <c r="Z14" t="s">
        <v>31</v>
      </c>
      <c r="AA14" t="s">
        <v>66</v>
      </c>
      <c r="AB14" t="s">
        <v>67</v>
      </c>
      <c r="AC14">
        <v>200000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>
        <v>13</v>
      </c>
      <c r="B15" t="s">
        <v>96</v>
      </c>
      <c r="C15">
        <v>200000</v>
      </c>
      <c r="D15">
        <v>7.0999999999999994E-2</v>
      </c>
      <c r="E15" t="s">
        <v>66</v>
      </c>
      <c r="F15" t="s">
        <v>79</v>
      </c>
      <c r="G15" t="s">
        <v>75</v>
      </c>
      <c r="H15" t="s">
        <v>32</v>
      </c>
      <c r="I15" t="s">
        <v>33</v>
      </c>
      <c r="J15" t="s">
        <v>68</v>
      </c>
      <c r="K15" t="s">
        <v>74</v>
      </c>
      <c r="L15">
        <v>13</v>
      </c>
      <c r="M15" t="s">
        <v>97</v>
      </c>
      <c r="O15" t="s">
        <v>98</v>
      </c>
      <c r="P15">
        <v>82.370002746582003</v>
      </c>
      <c r="Q15" s="11">
        <v>45107</v>
      </c>
      <c r="R15" t="s">
        <v>66</v>
      </c>
      <c r="S15" t="s">
        <v>79</v>
      </c>
      <c r="Y15" t="s">
        <v>178</v>
      </c>
      <c r="Z15" t="s">
        <v>31</v>
      </c>
      <c r="AA15" t="s">
        <v>66</v>
      </c>
      <c r="AB15" t="s">
        <v>79</v>
      </c>
      <c r="AC15">
        <v>200000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>
        <v>14</v>
      </c>
      <c r="B16" t="s">
        <v>99</v>
      </c>
      <c r="C16">
        <v>150000</v>
      </c>
      <c r="D16">
        <v>0.05</v>
      </c>
      <c r="E16" t="s">
        <v>102</v>
      </c>
      <c r="F16" t="s">
        <v>103</v>
      </c>
      <c r="G16" t="s">
        <v>103</v>
      </c>
      <c r="H16" t="s">
        <v>32</v>
      </c>
      <c r="I16" t="s">
        <v>33</v>
      </c>
      <c r="J16" t="s">
        <v>68</v>
      </c>
      <c r="K16" t="s">
        <v>80</v>
      </c>
      <c r="L16">
        <v>14</v>
      </c>
      <c r="M16" t="s">
        <v>100</v>
      </c>
      <c r="N16" t="s">
        <v>100</v>
      </c>
      <c r="O16" t="s">
        <v>101</v>
      </c>
      <c r="P16">
        <v>2.0573580001112699</v>
      </c>
      <c r="Q16" s="11">
        <v>45107</v>
      </c>
      <c r="R16" t="s">
        <v>102</v>
      </c>
      <c r="S16" t="s">
        <v>103</v>
      </c>
      <c r="Y16" t="s">
        <v>163</v>
      </c>
      <c r="Z16" t="s">
        <v>31</v>
      </c>
      <c r="AA16" t="s">
        <v>102</v>
      </c>
      <c r="AB16" t="s">
        <v>103</v>
      </c>
      <c r="AC16">
        <v>150000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>
        <v>15</v>
      </c>
      <c r="B17" t="s">
        <v>104</v>
      </c>
      <c r="C17">
        <v>150000</v>
      </c>
      <c r="D17">
        <v>0.05</v>
      </c>
      <c r="E17" t="s">
        <v>102</v>
      </c>
      <c r="F17" t="s">
        <v>103</v>
      </c>
      <c r="G17" t="s">
        <v>103</v>
      </c>
      <c r="H17" t="s">
        <v>32</v>
      </c>
      <c r="I17" t="s">
        <v>33</v>
      </c>
      <c r="J17" t="s">
        <v>68</v>
      </c>
      <c r="K17" t="s">
        <v>69</v>
      </c>
      <c r="L17">
        <v>15</v>
      </c>
      <c r="M17" t="s">
        <v>105</v>
      </c>
      <c r="N17" t="s">
        <v>105</v>
      </c>
      <c r="O17" t="s">
        <v>106</v>
      </c>
      <c r="P17">
        <v>1.6105777877052201</v>
      </c>
      <c r="Q17" s="11">
        <v>45107</v>
      </c>
      <c r="R17" t="s">
        <v>102</v>
      </c>
      <c r="S17" t="s">
        <v>103</v>
      </c>
      <c r="Y17" t="s">
        <v>164</v>
      </c>
      <c r="Z17" t="s">
        <v>31</v>
      </c>
      <c r="AA17" t="s">
        <v>102</v>
      </c>
      <c r="AB17" t="s">
        <v>103</v>
      </c>
      <c r="AC17">
        <v>150000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>
        <v>16</v>
      </c>
      <c r="B18" t="s">
        <v>107</v>
      </c>
      <c r="C18">
        <v>200000</v>
      </c>
      <c r="D18">
        <v>9.2999999999999999E-2</v>
      </c>
      <c r="E18" t="s">
        <v>102</v>
      </c>
      <c r="F18" t="s">
        <v>110</v>
      </c>
      <c r="G18" t="s">
        <v>110</v>
      </c>
      <c r="H18" t="s">
        <v>32</v>
      </c>
      <c r="I18" t="s">
        <v>33</v>
      </c>
      <c r="J18" t="s">
        <v>68</v>
      </c>
      <c r="K18" t="s">
        <v>74</v>
      </c>
      <c r="L18">
        <v>16</v>
      </c>
      <c r="M18" t="s">
        <v>108</v>
      </c>
      <c r="N18" t="s">
        <v>108</v>
      </c>
      <c r="O18" t="s">
        <v>109</v>
      </c>
      <c r="P18">
        <v>1.2122663078790701</v>
      </c>
      <c r="Q18" s="11">
        <v>45107</v>
      </c>
      <c r="R18" t="s">
        <v>102</v>
      </c>
      <c r="S18" t="s">
        <v>110</v>
      </c>
      <c r="Y18" t="s">
        <v>167</v>
      </c>
      <c r="Z18" t="s">
        <v>31</v>
      </c>
      <c r="AA18" t="s">
        <v>102</v>
      </c>
      <c r="AB18" t="s">
        <v>110</v>
      </c>
      <c r="AC18">
        <v>200000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>
        <v>17</v>
      </c>
      <c r="B19" t="s">
        <v>111</v>
      </c>
      <c r="C19">
        <v>200000</v>
      </c>
      <c r="D19">
        <v>9.2999999999999999E-2</v>
      </c>
      <c r="E19" t="s">
        <v>102</v>
      </c>
      <c r="F19" t="s">
        <v>110</v>
      </c>
      <c r="G19" t="s">
        <v>110</v>
      </c>
      <c r="H19" t="s">
        <v>32</v>
      </c>
      <c r="I19" t="s">
        <v>33</v>
      </c>
      <c r="J19" t="s">
        <v>68</v>
      </c>
      <c r="K19" t="s">
        <v>80</v>
      </c>
      <c r="L19">
        <v>17</v>
      </c>
      <c r="M19" t="s">
        <v>112</v>
      </c>
      <c r="N19" t="s">
        <v>112</v>
      </c>
      <c r="O19" t="s">
        <v>113</v>
      </c>
      <c r="P19">
        <v>1.1544248845623999</v>
      </c>
      <c r="Q19" s="11">
        <v>45107</v>
      </c>
      <c r="R19" t="s">
        <v>102</v>
      </c>
      <c r="S19" t="s">
        <v>110</v>
      </c>
      <c r="Y19" t="s">
        <v>165</v>
      </c>
      <c r="Z19" t="s">
        <v>31</v>
      </c>
      <c r="AA19" t="s">
        <v>102</v>
      </c>
      <c r="AB19" t="s">
        <v>110</v>
      </c>
      <c r="AC19">
        <v>200000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>
        <v>18</v>
      </c>
      <c r="B20" t="s">
        <v>114</v>
      </c>
      <c r="C20">
        <v>200000</v>
      </c>
      <c r="D20">
        <v>9.2999999999999999E-2</v>
      </c>
      <c r="E20" t="s">
        <v>102</v>
      </c>
      <c r="F20" t="s">
        <v>110</v>
      </c>
      <c r="G20" t="s">
        <v>110</v>
      </c>
      <c r="H20" t="s">
        <v>32</v>
      </c>
      <c r="I20" t="s">
        <v>33</v>
      </c>
      <c r="J20" t="s">
        <v>68</v>
      </c>
      <c r="K20" t="s">
        <v>80</v>
      </c>
      <c r="L20">
        <v>18</v>
      </c>
      <c r="M20" t="s">
        <v>115</v>
      </c>
      <c r="N20" t="s">
        <v>115</v>
      </c>
      <c r="O20" t="s">
        <v>116</v>
      </c>
      <c r="P20">
        <v>1</v>
      </c>
      <c r="Q20" s="11">
        <v>45107</v>
      </c>
      <c r="R20" t="s">
        <v>102</v>
      </c>
      <c r="S20" t="s">
        <v>110</v>
      </c>
      <c r="Y20" t="s">
        <v>166</v>
      </c>
      <c r="Z20" t="s">
        <v>31</v>
      </c>
      <c r="AA20" t="s">
        <v>102</v>
      </c>
      <c r="AB20" t="s">
        <v>110</v>
      </c>
      <c r="AC20">
        <v>200000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>
        <v>19</v>
      </c>
      <c r="B21" t="s">
        <v>117</v>
      </c>
      <c r="C21">
        <v>500000</v>
      </c>
      <c r="D21">
        <v>3.6999999999999998E-2</v>
      </c>
      <c r="E21" t="s">
        <v>117</v>
      </c>
      <c r="F21" t="s">
        <v>117</v>
      </c>
      <c r="G21" t="s">
        <v>117</v>
      </c>
      <c r="H21" t="s">
        <v>32</v>
      </c>
      <c r="I21" t="s">
        <v>33</v>
      </c>
      <c r="J21" t="s">
        <v>68</v>
      </c>
      <c r="K21" t="s">
        <v>80</v>
      </c>
      <c r="L21">
        <v>19</v>
      </c>
      <c r="M21" t="s">
        <v>118</v>
      </c>
      <c r="O21" t="s">
        <v>119</v>
      </c>
      <c r="P21">
        <v>1</v>
      </c>
      <c r="Q21" s="11">
        <v>45107</v>
      </c>
      <c r="R21" t="s">
        <v>117</v>
      </c>
      <c r="S21" t="s">
        <v>117</v>
      </c>
      <c r="Y21" t="s">
        <v>161</v>
      </c>
      <c r="Z21" t="s">
        <v>31</v>
      </c>
      <c r="AA21" t="s">
        <v>117</v>
      </c>
      <c r="AB21" t="s">
        <v>117</v>
      </c>
      <c r="AC21">
        <v>500000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 x14ac:dyDescent="0.25"/>
  <sheetData>
    <row r="1" spans="1:10" x14ac:dyDescent="0.25">
      <c r="A1" t="s">
        <v>137</v>
      </c>
      <c r="B1" t="s">
        <v>143</v>
      </c>
      <c r="C1" t="s">
        <v>141</v>
      </c>
      <c r="D1" t="s">
        <v>205</v>
      </c>
      <c r="E1" t="s">
        <v>206</v>
      </c>
      <c r="F1" t="s">
        <v>207</v>
      </c>
      <c r="G1" t="s">
        <v>195</v>
      </c>
      <c r="H1" t="s">
        <v>196</v>
      </c>
      <c r="I1" t="s">
        <v>197</v>
      </c>
      <c r="J1" t="s">
        <v>208</v>
      </c>
    </row>
    <row r="2" spans="1:10" x14ac:dyDescent="0.25">
      <c r="A2">
        <v>0</v>
      </c>
      <c r="B2">
        <v>0</v>
      </c>
      <c r="C2" t="s">
        <v>170</v>
      </c>
      <c r="D2" t="s">
        <v>195</v>
      </c>
      <c r="E2" t="s">
        <v>170</v>
      </c>
      <c r="F2">
        <v>1</v>
      </c>
      <c r="G2">
        <v>250000</v>
      </c>
      <c r="H2">
        <v>0</v>
      </c>
      <c r="I2">
        <v>0</v>
      </c>
      <c r="J2">
        <v>250000</v>
      </c>
    </row>
    <row r="3" spans="1:10" x14ac:dyDescent="0.25">
      <c r="A3">
        <v>1</v>
      </c>
      <c r="B3">
        <v>1</v>
      </c>
      <c r="C3" t="s">
        <v>156</v>
      </c>
      <c r="D3" t="s">
        <v>195</v>
      </c>
      <c r="E3" t="s">
        <v>156</v>
      </c>
      <c r="F3">
        <v>1</v>
      </c>
      <c r="G3">
        <v>250000</v>
      </c>
      <c r="H3">
        <v>0</v>
      </c>
      <c r="I3">
        <v>0</v>
      </c>
      <c r="J3">
        <v>250000</v>
      </c>
    </row>
    <row r="4" spans="1:10" x14ac:dyDescent="0.25">
      <c r="A4">
        <v>2</v>
      </c>
      <c r="B4">
        <v>2</v>
      </c>
      <c r="C4" t="s">
        <v>171</v>
      </c>
      <c r="D4" t="s">
        <v>195</v>
      </c>
      <c r="E4" t="s">
        <v>171</v>
      </c>
      <c r="F4">
        <v>1</v>
      </c>
      <c r="G4">
        <v>200000</v>
      </c>
      <c r="H4">
        <v>0</v>
      </c>
      <c r="I4">
        <v>0</v>
      </c>
      <c r="J4">
        <v>200000</v>
      </c>
    </row>
    <row r="5" spans="1:10" x14ac:dyDescent="0.25">
      <c r="A5">
        <v>3</v>
      </c>
      <c r="B5">
        <v>3</v>
      </c>
      <c r="C5" t="s">
        <v>172</v>
      </c>
      <c r="D5" t="s">
        <v>195</v>
      </c>
      <c r="E5" t="s">
        <v>172</v>
      </c>
      <c r="F5">
        <v>1</v>
      </c>
      <c r="G5">
        <v>200000</v>
      </c>
      <c r="H5">
        <v>0</v>
      </c>
      <c r="I5">
        <v>0</v>
      </c>
      <c r="J5">
        <v>200000</v>
      </c>
    </row>
    <row r="6" spans="1:10" x14ac:dyDescent="0.25">
      <c r="A6">
        <v>4</v>
      </c>
      <c r="B6">
        <v>4</v>
      </c>
      <c r="C6" t="s">
        <v>173</v>
      </c>
      <c r="D6" t="s">
        <v>195</v>
      </c>
      <c r="E6" t="s">
        <v>173</v>
      </c>
      <c r="F6">
        <v>1</v>
      </c>
      <c r="G6">
        <v>200000</v>
      </c>
      <c r="H6">
        <v>0</v>
      </c>
      <c r="I6">
        <v>0</v>
      </c>
      <c r="J6">
        <v>200000</v>
      </c>
    </row>
    <row r="7" spans="1:10" x14ac:dyDescent="0.25">
      <c r="A7">
        <v>5</v>
      </c>
      <c r="B7">
        <v>5</v>
      </c>
      <c r="C7" t="s">
        <v>174</v>
      </c>
      <c r="D7" t="s">
        <v>195</v>
      </c>
      <c r="E7" t="s">
        <v>174</v>
      </c>
      <c r="F7">
        <v>1</v>
      </c>
      <c r="G7">
        <v>200000</v>
      </c>
      <c r="H7">
        <v>0</v>
      </c>
      <c r="I7">
        <v>0</v>
      </c>
      <c r="J7">
        <v>200000</v>
      </c>
    </row>
    <row r="8" spans="1:10" x14ac:dyDescent="0.25">
      <c r="A8">
        <v>6</v>
      </c>
      <c r="B8">
        <v>6</v>
      </c>
      <c r="C8" t="s">
        <v>159</v>
      </c>
      <c r="D8" t="s">
        <v>195</v>
      </c>
      <c r="E8" t="s">
        <v>159</v>
      </c>
      <c r="F8">
        <v>1</v>
      </c>
      <c r="G8">
        <v>1000000</v>
      </c>
      <c r="H8">
        <v>0</v>
      </c>
      <c r="I8">
        <v>0</v>
      </c>
      <c r="J8">
        <v>1000000</v>
      </c>
    </row>
    <row r="9" spans="1:10" x14ac:dyDescent="0.25">
      <c r="A9">
        <v>7</v>
      </c>
      <c r="B9">
        <v>7</v>
      </c>
      <c r="C9" t="s">
        <v>160</v>
      </c>
      <c r="D9" t="s">
        <v>195</v>
      </c>
      <c r="E9" t="s">
        <v>160</v>
      </c>
      <c r="F9">
        <v>1</v>
      </c>
      <c r="G9">
        <v>1000000</v>
      </c>
      <c r="H9">
        <v>0</v>
      </c>
      <c r="I9">
        <v>0</v>
      </c>
      <c r="J9">
        <v>1000000</v>
      </c>
    </row>
    <row r="10" spans="1:10" x14ac:dyDescent="0.25">
      <c r="A10">
        <v>8</v>
      </c>
      <c r="B10">
        <v>8</v>
      </c>
      <c r="C10" t="s">
        <v>175</v>
      </c>
      <c r="D10" t="s">
        <v>195</v>
      </c>
      <c r="E10" t="s">
        <v>175</v>
      </c>
      <c r="F10">
        <v>1</v>
      </c>
      <c r="G10">
        <v>1900000</v>
      </c>
      <c r="H10">
        <v>0</v>
      </c>
      <c r="I10">
        <v>0</v>
      </c>
      <c r="J10">
        <v>1900000</v>
      </c>
    </row>
    <row r="11" spans="1:10" x14ac:dyDescent="0.25">
      <c r="A11">
        <v>9</v>
      </c>
      <c r="B11">
        <v>9</v>
      </c>
      <c r="C11" t="s">
        <v>176</v>
      </c>
      <c r="D11" t="s">
        <v>195</v>
      </c>
      <c r="E11" t="s">
        <v>176</v>
      </c>
      <c r="F11">
        <v>1</v>
      </c>
      <c r="G11">
        <v>1900000</v>
      </c>
      <c r="H11">
        <v>0</v>
      </c>
      <c r="I11">
        <v>0</v>
      </c>
      <c r="J11">
        <v>1900000</v>
      </c>
    </row>
    <row r="12" spans="1:10" x14ac:dyDescent="0.25">
      <c r="A12">
        <v>10</v>
      </c>
      <c r="B12">
        <v>10</v>
      </c>
      <c r="C12" t="s">
        <v>177</v>
      </c>
      <c r="D12" t="s">
        <v>195</v>
      </c>
      <c r="E12" t="s">
        <v>177</v>
      </c>
      <c r="F12">
        <v>1</v>
      </c>
      <c r="G12">
        <v>900000</v>
      </c>
      <c r="H12">
        <v>0</v>
      </c>
      <c r="I12">
        <v>0</v>
      </c>
      <c r="J12">
        <v>900000</v>
      </c>
    </row>
    <row r="13" spans="1:10" x14ac:dyDescent="0.25">
      <c r="A13">
        <v>11</v>
      </c>
      <c r="B13">
        <v>11</v>
      </c>
      <c r="C13" t="s">
        <v>168</v>
      </c>
      <c r="D13" t="s">
        <v>195</v>
      </c>
      <c r="E13" t="s">
        <v>168</v>
      </c>
      <c r="F13">
        <v>1</v>
      </c>
      <c r="G13">
        <v>200000</v>
      </c>
      <c r="H13">
        <v>0</v>
      </c>
      <c r="I13">
        <v>0</v>
      </c>
      <c r="J13">
        <v>200000</v>
      </c>
    </row>
    <row r="14" spans="1:10" x14ac:dyDescent="0.25">
      <c r="A14">
        <v>12</v>
      </c>
      <c r="B14">
        <v>12</v>
      </c>
      <c r="C14" t="s">
        <v>169</v>
      </c>
      <c r="D14" t="s">
        <v>195</v>
      </c>
      <c r="E14" t="s">
        <v>169</v>
      </c>
      <c r="F14">
        <v>1</v>
      </c>
      <c r="G14">
        <v>200000</v>
      </c>
      <c r="H14">
        <v>0</v>
      </c>
      <c r="I14">
        <v>0</v>
      </c>
      <c r="J14">
        <v>200000</v>
      </c>
    </row>
    <row r="15" spans="1:10" x14ac:dyDescent="0.25">
      <c r="A15">
        <v>13</v>
      </c>
      <c r="B15">
        <v>13</v>
      </c>
      <c r="C15" t="s">
        <v>178</v>
      </c>
      <c r="D15" t="s">
        <v>195</v>
      </c>
      <c r="E15" t="s">
        <v>178</v>
      </c>
      <c r="F15">
        <v>1</v>
      </c>
      <c r="G15">
        <v>200000</v>
      </c>
      <c r="H15">
        <v>0</v>
      </c>
      <c r="I15">
        <v>0</v>
      </c>
      <c r="J15">
        <v>200000</v>
      </c>
    </row>
    <row r="16" spans="1:10" x14ac:dyDescent="0.25">
      <c r="A16">
        <v>14</v>
      </c>
      <c r="B16">
        <v>14</v>
      </c>
      <c r="C16" t="s">
        <v>163</v>
      </c>
      <c r="D16" t="s">
        <v>195</v>
      </c>
      <c r="E16" t="s">
        <v>163</v>
      </c>
      <c r="F16">
        <v>1</v>
      </c>
      <c r="G16">
        <v>150000</v>
      </c>
      <c r="H16">
        <v>0</v>
      </c>
      <c r="I16">
        <v>0</v>
      </c>
      <c r="J16">
        <v>150000</v>
      </c>
    </row>
    <row r="17" spans="1:10" x14ac:dyDescent="0.25">
      <c r="A17">
        <v>15</v>
      </c>
      <c r="B17">
        <v>15</v>
      </c>
      <c r="C17" t="s">
        <v>164</v>
      </c>
      <c r="D17" t="s">
        <v>195</v>
      </c>
      <c r="E17" t="s">
        <v>164</v>
      </c>
      <c r="F17">
        <v>1</v>
      </c>
      <c r="G17">
        <v>150000</v>
      </c>
      <c r="H17">
        <v>0</v>
      </c>
      <c r="I17">
        <v>0</v>
      </c>
      <c r="J17">
        <v>150000</v>
      </c>
    </row>
    <row r="18" spans="1:10" x14ac:dyDescent="0.25">
      <c r="A18">
        <v>16</v>
      </c>
      <c r="B18">
        <v>16</v>
      </c>
      <c r="C18" t="s">
        <v>167</v>
      </c>
      <c r="D18" t="s">
        <v>195</v>
      </c>
      <c r="E18" t="s">
        <v>167</v>
      </c>
      <c r="F18">
        <v>1</v>
      </c>
      <c r="G18">
        <v>200000</v>
      </c>
      <c r="H18">
        <v>0</v>
      </c>
      <c r="I18">
        <v>0</v>
      </c>
      <c r="J18">
        <v>200000</v>
      </c>
    </row>
    <row r="19" spans="1:10" x14ac:dyDescent="0.25">
      <c r="A19">
        <v>17</v>
      </c>
      <c r="B19">
        <v>17</v>
      </c>
      <c r="C19" t="s">
        <v>165</v>
      </c>
      <c r="D19" t="s">
        <v>195</v>
      </c>
      <c r="E19" t="s">
        <v>165</v>
      </c>
      <c r="F19">
        <v>1</v>
      </c>
      <c r="G19">
        <v>200000</v>
      </c>
      <c r="H19">
        <v>0</v>
      </c>
      <c r="I19">
        <v>0</v>
      </c>
      <c r="J19">
        <v>200000</v>
      </c>
    </row>
    <row r="20" spans="1:10" x14ac:dyDescent="0.25">
      <c r="A20">
        <v>18</v>
      </c>
      <c r="B20">
        <v>18</v>
      </c>
      <c r="C20" t="s">
        <v>166</v>
      </c>
      <c r="D20" t="s">
        <v>195</v>
      </c>
      <c r="E20" t="s">
        <v>166</v>
      </c>
      <c r="F20">
        <v>1</v>
      </c>
      <c r="G20">
        <v>200000</v>
      </c>
      <c r="H20">
        <v>0</v>
      </c>
      <c r="I20">
        <v>0</v>
      </c>
      <c r="J20">
        <v>200000</v>
      </c>
    </row>
    <row r="21" spans="1:10" x14ac:dyDescent="0.25">
      <c r="A21">
        <v>19</v>
      </c>
      <c r="B21">
        <v>19</v>
      </c>
      <c r="C21" t="s">
        <v>161</v>
      </c>
      <c r="D21" t="s">
        <v>195</v>
      </c>
      <c r="E21" t="s">
        <v>161</v>
      </c>
      <c r="F21">
        <v>1</v>
      </c>
      <c r="G21">
        <v>500000</v>
      </c>
      <c r="H21">
        <v>0</v>
      </c>
      <c r="I21">
        <v>0</v>
      </c>
      <c r="J21">
        <v>500000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/>
  </sheetViews>
  <sheetFormatPr defaultRowHeight="15" x14ac:dyDescent="0.25"/>
  <cols>
    <col min="3" max="4" width="12" bestFit="1" customWidth="1"/>
    <col min="5" max="5" width="13.140625" bestFit="1" customWidth="1"/>
    <col min="6" max="7" width="12" bestFit="1" customWidth="1"/>
    <col min="8" max="8" width="13.28515625" bestFit="1" customWidth="1"/>
    <col min="9" max="9" width="14" bestFit="1" customWidth="1"/>
  </cols>
  <sheetData>
    <row r="1" spans="1:9" x14ac:dyDescent="0.25">
      <c r="A1" t="s">
        <v>137</v>
      </c>
      <c r="B1" t="s">
        <v>143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</row>
    <row r="2" spans="1:9" x14ac:dyDescent="0.25">
      <c r="A2">
        <v>0</v>
      </c>
      <c r="B2">
        <v>0</v>
      </c>
      <c r="C2">
        <v>26523.413664541506</v>
      </c>
      <c r="D2">
        <v>16929.176111732486</v>
      </c>
      <c r="E2">
        <v>10794.687257050755</v>
      </c>
      <c r="F2">
        <v>26523.413664541506</v>
      </c>
      <c r="G2">
        <v>40887.232585112732</v>
      </c>
      <c r="H2">
        <v>20665.73653823552</v>
      </c>
      <c r="I2">
        <v>26286.995448021618</v>
      </c>
    </row>
    <row r="3" spans="1:9" x14ac:dyDescent="0.25">
      <c r="A3">
        <v>1</v>
      </c>
      <c r="B3">
        <v>1</v>
      </c>
      <c r="C3">
        <v>20311.910661094127</v>
      </c>
      <c r="D3">
        <v>12311.721904835245</v>
      </c>
      <c r="E3">
        <v>1300.3904079707368</v>
      </c>
      <c r="F3">
        <v>20311.910661094127</v>
      </c>
      <c r="G3">
        <v>28231.204580819704</v>
      </c>
      <c r="H3">
        <v>-484.28940977396212</v>
      </c>
      <c r="I3">
        <v>801.48212954956364</v>
      </c>
    </row>
    <row r="4" spans="1:9" x14ac:dyDescent="0.25">
      <c r="A4">
        <v>2</v>
      </c>
      <c r="B4">
        <v>2</v>
      </c>
      <c r="C4">
        <v>18691.526795998143</v>
      </c>
      <c r="D4">
        <v>12599.535099647574</v>
      </c>
      <c r="E4">
        <v>7665.8244154376944</v>
      </c>
      <c r="F4">
        <v>18691.526795998143</v>
      </c>
      <c r="G4">
        <v>28212.357965615669</v>
      </c>
      <c r="H4">
        <v>17960.540594667309</v>
      </c>
      <c r="I4">
        <v>17011.508836557401</v>
      </c>
    </row>
    <row r="5" spans="1:9" x14ac:dyDescent="0.25">
      <c r="A5">
        <v>3</v>
      </c>
      <c r="B5">
        <v>3</v>
      </c>
      <c r="C5">
        <v>16511.418952110565</v>
      </c>
      <c r="D5">
        <v>10376.257843914624</v>
      </c>
      <c r="E5">
        <v>6085.3673896802575</v>
      </c>
      <c r="F5">
        <v>16511.418952110565</v>
      </c>
      <c r="G5">
        <v>26210.836712321576</v>
      </c>
      <c r="H5">
        <v>11789.442177726745</v>
      </c>
      <c r="I5">
        <v>14184.987762176577</v>
      </c>
    </row>
    <row r="6" spans="1:9" x14ac:dyDescent="0.25">
      <c r="A6">
        <v>4</v>
      </c>
      <c r="B6">
        <v>4</v>
      </c>
      <c r="C6">
        <v>15817.462758282174</v>
      </c>
      <c r="D6">
        <v>10231.060902260253</v>
      </c>
      <c r="E6">
        <v>5085.2419371623628</v>
      </c>
      <c r="F6">
        <v>15817.462758282174</v>
      </c>
      <c r="G6">
        <v>24300.149821959487</v>
      </c>
      <c r="H6">
        <v>11136.989224334347</v>
      </c>
      <c r="I6">
        <v>12540.90935840266</v>
      </c>
    </row>
    <row r="7" spans="1:9" x14ac:dyDescent="0.25">
      <c r="A7">
        <v>5</v>
      </c>
      <c r="B7">
        <v>5</v>
      </c>
      <c r="C7">
        <v>16601.590174721117</v>
      </c>
      <c r="D7">
        <v>11667.887601397033</v>
      </c>
      <c r="E7">
        <v>7474.0402234547264</v>
      </c>
      <c r="F7">
        <v>16601.590174721117</v>
      </c>
      <c r="G7">
        <v>27668.060418603898</v>
      </c>
      <c r="H7">
        <v>18581.596834883276</v>
      </c>
      <c r="I7">
        <v>18369.255138761786</v>
      </c>
    </row>
    <row r="8" spans="1:9" x14ac:dyDescent="0.25">
      <c r="A8">
        <v>6</v>
      </c>
      <c r="B8">
        <v>6</v>
      </c>
      <c r="C8">
        <v>14800.950904774052</v>
      </c>
      <c r="D8">
        <v>9555.8885786966803</v>
      </c>
      <c r="E8">
        <v>3954.3007980825632</v>
      </c>
      <c r="F8">
        <v>14800.950904774052</v>
      </c>
      <c r="G8">
        <v>23721.999102934002</v>
      </c>
      <c r="H8">
        <v>6707.0147577448288</v>
      </c>
      <c r="I8">
        <v>10272.948950370632</v>
      </c>
    </row>
    <row r="9" spans="1:9" x14ac:dyDescent="0.25">
      <c r="A9">
        <v>7</v>
      </c>
      <c r="B9">
        <v>7</v>
      </c>
      <c r="C9">
        <v>16655.20625996136</v>
      </c>
      <c r="D9">
        <v>11237.327952759293</v>
      </c>
      <c r="E9">
        <v>5466.3546550249102</v>
      </c>
      <c r="F9">
        <v>16655.20625996136</v>
      </c>
      <c r="G9">
        <v>27682.467416303276</v>
      </c>
      <c r="H9">
        <v>9939.8432884227132</v>
      </c>
      <c r="I9">
        <v>14676.897179775095</v>
      </c>
    </row>
    <row r="10" spans="1:9" x14ac:dyDescent="0.25">
      <c r="A10">
        <v>8</v>
      </c>
      <c r="B10">
        <v>8</v>
      </c>
      <c r="C10">
        <v>22597.81089365701</v>
      </c>
      <c r="D10">
        <v>26631.333352268524</v>
      </c>
      <c r="E10">
        <v>12744.522172348201</v>
      </c>
      <c r="F10">
        <v>22597.81089365701</v>
      </c>
      <c r="G10">
        <v>50705.548181446822</v>
      </c>
      <c r="H10">
        <v>10756.977249013915</v>
      </c>
      <c r="I10">
        <v>31030.363305824383</v>
      </c>
    </row>
    <row r="11" spans="1:9" x14ac:dyDescent="0.25">
      <c r="A11">
        <v>9</v>
      </c>
      <c r="B11">
        <v>9</v>
      </c>
      <c r="C11">
        <v>85764.670274323682</v>
      </c>
      <c r="D11">
        <v>66024.661587893963</v>
      </c>
      <c r="E11">
        <v>38797.093479372597</v>
      </c>
      <c r="F11">
        <v>85764.670274323682</v>
      </c>
      <c r="G11">
        <v>149644.4658186915</v>
      </c>
      <c r="H11">
        <v>6124.1685295382895</v>
      </c>
      <c r="I11">
        <v>80655.745627359865</v>
      </c>
    </row>
    <row r="12" spans="1:9" x14ac:dyDescent="0.25">
      <c r="A12">
        <v>10</v>
      </c>
      <c r="B12">
        <v>10</v>
      </c>
      <c r="C12">
        <v>7633.4998094472858</v>
      </c>
      <c r="D12">
        <v>4338.9771658084364</v>
      </c>
      <c r="E12">
        <v>571.50741503914332</v>
      </c>
      <c r="F12">
        <v>7633.4998094472858</v>
      </c>
      <c r="G12">
        <v>11024.756265172784</v>
      </c>
      <c r="H12">
        <v>5177.1620415267917</v>
      </c>
      <c r="I12">
        <v>1942.9990743726107</v>
      </c>
    </row>
    <row r="13" spans="1:9" x14ac:dyDescent="0.25">
      <c r="A13">
        <v>11</v>
      </c>
      <c r="B13">
        <v>11</v>
      </c>
      <c r="C13">
        <v>4870.2261602717508</v>
      </c>
      <c r="D13">
        <v>3518.6988256002833</v>
      </c>
      <c r="E13">
        <v>2040.3138559901249</v>
      </c>
      <c r="F13">
        <v>4870.2261602717508</v>
      </c>
      <c r="G13">
        <v>8400.1885088812269</v>
      </c>
      <c r="H13">
        <v>4141.7109483078557</v>
      </c>
      <c r="I13">
        <v>5388.9785279805965</v>
      </c>
    </row>
    <row r="14" spans="1:9" x14ac:dyDescent="0.25">
      <c r="A14">
        <v>12</v>
      </c>
      <c r="B14">
        <v>12</v>
      </c>
      <c r="C14">
        <v>4640.3870123829365</v>
      </c>
      <c r="D14">
        <v>4279.6905233931202</v>
      </c>
      <c r="E14">
        <v>917.03252276117689</v>
      </c>
      <c r="F14">
        <v>4640.3870123829365</v>
      </c>
      <c r="G14">
        <v>10297.276277790834</v>
      </c>
      <c r="H14">
        <v>1823.5406786040667</v>
      </c>
      <c r="I14">
        <v>2860.027836445815</v>
      </c>
    </row>
    <row r="15" spans="1:9" x14ac:dyDescent="0.25">
      <c r="A15">
        <v>13</v>
      </c>
      <c r="B15">
        <v>13</v>
      </c>
      <c r="C15">
        <v>8205.7548635314324</v>
      </c>
      <c r="D15">
        <v>6366.7736490920097</v>
      </c>
      <c r="E15">
        <v>3165.282149551374</v>
      </c>
      <c r="F15">
        <v>8205.7548635314324</v>
      </c>
      <c r="G15">
        <v>16556.948119390509</v>
      </c>
      <c r="H15">
        <v>5438.6678313136154</v>
      </c>
      <c r="I15">
        <v>8457.1852441553092</v>
      </c>
    </row>
    <row r="16" spans="1:9" x14ac:dyDescent="0.25">
      <c r="A16">
        <v>14</v>
      </c>
      <c r="B16">
        <v>14</v>
      </c>
      <c r="C16">
        <v>8563.1218732480938</v>
      </c>
      <c r="D16">
        <v>5565.7499770256054</v>
      </c>
      <c r="E16">
        <v>2096.5352458366656</v>
      </c>
      <c r="F16">
        <v>8563.1218732480938</v>
      </c>
      <c r="G16">
        <v>11845.315699209066</v>
      </c>
      <c r="H16">
        <v>2277.9046420006039</v>
      </c>
      <c r="I16">
        <v>4139.9432011224517</v>
      </c>
    </row>
    <row r="17" spans="1:9" x14ac:dyDescent="0.25">
      <c r="A17">
        <v>15</v>
      </c>
      <c r="B17">
        <v>15</v>
      </c>
      <c r="C17">
        <v>3698.7171592737354</v>
      </c>
      <c r="D17">
        <v>2379.663175508389</v>
      </c>
      <c r="E17">
        <v>669.17222849206939</v>
      </c>
      <c r="F17">
        <v>3698.7171592737354</v>
      </c>
      <c r="G17">
        <v>5170.4838233806095</v>
      </c>
      <c r="H17">
        <v>2609.5502903640868</v>
      </c>
      <c r="I17">
        <v>2282.076829700351</v>
      </c>
    </row>
    <row r="18" spans="1:9" x14ac:dyDescent="0.25">
      <c r="A18">
        <v>16</v>
      </c>
      <c r="B18">
        <v>16</v>
      </c>
      <c r="C18">
        <v>3960.3022131048951</v>
      </c>
      <c r="D18">
        <v>3074.7475577137106</v>
      </c>
      <c r="E18">
        <v>1532.0798379803762</v>
      </c>
      <c r="F18">
        <v>3960.3022131048951</v>
      </c>
      <c r="G18">
        <v>7399.3003223037522</v>
      </c>
      <c r="H18">
        <v>1882.2167094156671</v>
      </c>
      <c r="I18">
        <v>3718.4720907018154</v>
      </c>
    </row>
    <row r="19" spans="1:9" x14ac:dyDescent="0.25">
      <c r="A19">
        <v>17</v>
      </c>
      <c r="B19">
        <v>17</v>
      </c>
      <c r="C19">
        <v>4951.6364548704432</v>
      </c>
      <c r="D19">
        <v>3490.527643718669</v>
      </c>
      <c r="E19">
        <v>1509.4369549903372</v>
      </c>
      <c r="F19">
        <v>4951.6364548704432</v>
      </c>
      <c r="G19">
        <v>7998.919836727262</v>
      </c>
      <c r="H19">
        <v>3380.9105510735185</v>
      </c>
      <c r="I19">
        <v>3629.6214336548023</v>
      </c>
    </row>
    <row r="20" spans="1:9" x14ac:dyDescent="0.25">
      <c r="A20">
        <v>18</v>
      </c>
      <c r="B20">
        <v>18</v>
      </c>
      <c r="C20">
        <v>5224.3441884542663</v>
      </c>
      <c r="D20">
        <v>3624.0760721851366</v>
      </c>
      <c r="E20">
        <v>1434.3127056641874</v>
      </c>
      <c r="F20">
        <v>5224.3441884542663</v>
      </c>
      <c r="G20">
        <v>8219.1462639690471</v>
      </c>
      <c r="H20">
        <v>4034.7276682476513</v>
      </c>
      <c r="I20">
        <v>3726.7478117328578</v>
      </c>
    </row>
    <row r="21" spans="1:9" x14ac:dyDescent="0.25">
      <c r="A21">
        <v>19</v>
      </c>
      <c r="B21">
        <v>19</v>
      </c>
      <c r="C21">
        <v>0</v>
      </c>
      <c r="D21">
        <v>0</v>
      </c>
      <c r="E21">
        <v>0</v>
      </c>
      <c r="F21">
        <v>0</v>
      </c>
      <c r="H21">
        <v>0</v>
      </c>
      <c r="I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14" sqref="H14"/>
    </sheetView>
  </sheetViews>
  <sheetFormatPr defaultRowHeight="15" x14ac:dyDescent="0.25"/>
  <sheetData>
    <row r="1" spans="1:8" x14ac:dyDescent="0.25">
      <c r="A1" t="s">
        <v>137</v>
      </c>
      <c r="B1" t="s">
        <v>216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</row>
    <row r="2" spans="1:8" x14ac:dyDescent="0.25">
      <c r="A2">
        <v>0</v>
      </c>
      <c r="B2" t="s">
        <v>195</v>
      </c>
      <c r="C2">
        <v>113303.49520803877</v>
      </c>
      <c r="D2">
        <v>113303.4950266402</v>
      </c>
      <c r="E2">
        <v>143944.41114564682</v>
      </c>
      <c r="F2">
        <v>261977.14578666614</v>
      </c>
      <c r="G2">
        <v>143944.41114564682</v>
      </c>
      <c r="H2">
        <v>261977.14578666614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Parameters</vt:lpstr>
      <vt:lpstr>Positions</vt:lpstr>
      <vt:lpstr>InputPositions</vt:lpstr>
      <vt:lpstr>Static</vt:lpstr>
      <vt:lpstr>Log</vt:lpstr>
      <vt:lpstr>Unknwon Securities</vt:lpstr>
      <vt:lpstr>Security_info</vt:lpstr>
      <vt:lpstr>LastPrices</vt:lpstr>
      <vt:lpstr>Bonds</vt:lpstr>
      <vt:lpstr>PosVaR</vt:lpstr>
      <vt:lpstr>RiskFactor</vt:lpstr>
      <vt:lpstr>VaR</vt:lpstr>
      <vt:lpstr>RF_VaR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Ding</dc:creator>
  <cp:lastModifiedBy>Michael Ding</cp:lastModifiedBy>
  <dcterms:created xsi:type="dcterms:W3CDTF">2024-07-13T15:38:51Z</dcterms:created>
  <dcterms:modified xsi:type="dcterms:W3CDTF">2024-11-11T03:42:54Z</dcterms:modified>
</cp:coreProperties>
</file>